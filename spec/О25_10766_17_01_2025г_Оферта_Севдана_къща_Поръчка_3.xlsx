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bori\Desktop\"/>
    </mc:Choice>
  </mc:AlternateContent>
  <xr:revisionPtr revIDLastSave="0" documentId="13_ncr:1_{EAB0BF6A-795B-4FAC-AB07-839B21C8F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 Invoice" sheetId="1" r:id="rId1"/>
  </sheets>
  <definedNames>
    <definedName name="ColumnTitle1">#REF!</definedName>
    <definedName name="ColumnTitleRegion1..E13.1">'Service Invoice'!#REF!</definedName>
    <definedName name="Company_Name">'Service Invoice'!#REF!</definedName>
    <definedName name="_xlnm.Print_Area" localSheetId="0">'Service Invoice'!$A$1:$K$152</definedName>
    <definedName name="RowTitleRegion1..E5">'Service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4" i="1" l="1"/>
  <c r="K74" i="1" s="1"/>
  <c r="J139" i="1" l="1"/>
  <c r="K139" i="1" s="1"/>
  <c r="J138" i="1"/>
  <c r="K138" i="1" s="1"/>
  <c r="J137" i="1"/>
  <c r="K137" i="1" s="1"/>
  <c r="J136" i="1"/>
  <c r="K136" i="1" s="1"/>
  <c r="J129" i="1"/>
  <c r="K129" i="1" s="1"/>
  <c r="J122" i="1"/>
  <c r="K122" i="1" s="1"/>
  <c r="J121" i="1"/>
  <c r="K121" i="1" s="1"/>
  <c r="J120" i="1"/>
  <c r="K120" i="1" s="1"/>
  <c r="J113" i="1"/>
  <c r="K113" i="1" s="1"/>
  <c r="J106" i="1"/>
  <c r="K106" i="1" s="1"/>
  <c r="J105" i="1"/>
  <c r="K105" i="1" s="1"/>
  <c r="J104" i="1"/>
  <c r="K104" i="1" s="1"/>
  <c r="J103" i="1"/>
  <c r="K103" i="1" s="1"/>
  <c r="J102" i="1"/>
  <c r="K102" i="1" s="1"/>
  <c r="J95" i="1"/>
  <c r="K95" i="1" s="1"/>
  <c r="J88" i="1"/>
  <c r="K88" i="1" s="1"/>
  <c r="J81" i="1"/>
  <c r="K81" i="1" s="1"/>
  <c r="J67" i="1"/>
  <c r="K67" i="1" s="1"/>
  <c r="J60" i="1" l="1"/>
  <c r="K60" i="1" s="1"/>
  <c r="J53" i="1" l="1"/>
  <c r="K53" i="1" s="1"/>
  <c r="J46" i="1" l="1"/>
  <c r="J39" i="1"/>
  <c r="J32" i="1"/>
  <c r="J25" i="1"/>
  <c r="J18" i="1"/>
  <c r="J11" i="1"/>
  <c r="K25" i="1" l="1"/>
  <c r="K18" i="1"/>
  <c r="K11" i="1"/>
  <c r="K46" i="1" l="1"/>
  <c r="K39" i="1"/>
  <c r="K32" i="1"/>
  <c r="K140" i="1" l="1"/>
  <c r="K141" i="1" s="1"/>
  <c r="K142" i="1" s="1"/>
</calcChain>
</file>

<file path=xl/sharedStrings.xml><?xml version="1.0" encoding="utf-8"?>
<sst xmlns="http://schemas.openxmlformats.org/spreadsheetml/2006/main" count="307" uniqueCount="112">
  <si>
    <t>№</t>
  </si>
  <si>
    <t>Описание</t>
  </si>
  <si>
    <t>Снимка</t>
  </si>
  <si>
    <t>Варна</t>
  </si>
  <si>
    <t>Модел:</t>
  </si>
  <si>
    <t>бр.</t>
  </si>
  <si>
    <t>ДДС 20%</t>
  </si>
  <si>
    <t>Обща сума с ДДС</t>
  </si>
  <si>
    <t>Мярка</t>
  </si>
  <si>
    <t>Ед. цена</t>
  </si>
  <si>
    <t>ул. Мургаш №5</t>
  </si>
  <si>
    <t>* Валидност на офертата – 20 дни</t>
  </si>
  <si>
    <t>* Офертата не включва монтаж</t>
  </si>
  <si>
    <t>С пожелание за успешни бъдещи контакти !</t>
  </si>
  <si>
    <t>гр. Варна</t>
  </si>
  <si>
    <t>Размер:</t>
  </si>
  <si>
    <t>Телефон: 0889128161</t>
  </si>
  <si>
    <t>Търговски представител:</t>
  </si>
  <si>
    <t>Кирил Борисов</t>
  </si>
  <si>
    <t>тел: 0889128161</t>
  </si>
  <si>
    <t>e-mail: k.borisov@polarislighting.bg</t>
  </si>
  <si>
    <t>Напрежение:</t>
  </si>
  <si>
    <t>Кол.</t>
  </si>
  <si>
    <t>Цвят:</t>
  </si>
  <si>
    <t>Черен</t>
  </si>
  <si>
    <t>Мощност:</t>
  </si>
  <si>
    <t>Светлинен поток:</t>
  </si>
  <si>
    <t>Цветна температура:</t>
  </si>
  <si>
    <t>220V</t>
  </si>
  <si>
    <t>3000K</t>
  </si>
  <si>
    <t>LED пендел Nova luce Vitra</t>
  </si>
  <si>
    <t>LED пендел Maytoni Mollis</t>
  </si>
  <si>
    <t>7W</t>
  </si>
  <si>
    <t>560lm</t>
  </si>
  <si>
    <t>Ф95 х H1200 мм</t>
  </si>
  <si>
    <t>G9x11, 44W</t>
  </si>
  <si>
    <t>3500lm</t>
  </si>
  <si>
    <t>Златен</t>
  </si>
  <si>
    <t>650 x 528 x 1200 мм</t>
  </si>
  <si>
    <t>5W</t>
  </si>
  <si>
    <t>LED Redo Bilia</t>
  </si>
  <si>
    <t>330lm</t>
  </si>
  <si>
    <t>Ф120 мм</t>
  </si>
  <si>
    <t>LED аплик NL Fuse</t>
  </si>
  <si>
    <t>3W</t>
  </si>
  <si>
    <t>210lm</t>
  </si>
  <si>
    <t>60 x 123 x 80 мм</t>
  </si>
  <si>
    <t>* Начин на плащане: Банков път 50% аванс, 50% преди доставка</t>
  </si>
  <si>
    <t>Обща сума без ДДС с 15% ТО</t>
  </si>
  <si>
    <t>15% ТО</t>
  </si>
  <si>
    <t>Бял</t>
  </si>
  <si>
    <t>LED аплик REDO Bolla</t>
  </si>
  <si>
    <t>12W</t>
  </si>
  <si>
    <t>1300lm</t>
  </si>
  <si>
    <t>120 х 340 мм</t>
  </si>
  <si>
    <t>L 1200 мм</t>
  </si>
  <si>
    <t>40W</t>
  </si>
  <si>
    <t>3150lm</t>
  </si>
  <si>
    <t>LED пендел Redo Dune</t>
  </si>
  <si>
    <t>* Срок на доставка: 4-6 седмици след авансово плащане</t>
  </si>
  <si>
    <t>LED луна Orion</t>
  </si>
  <si>
    <t>7,5W</t>
  </si>
  <si>
    <t>600lm</t>
  </si>
  <si>
    <t>220V TRIAC DIM</t>
  </si>
  <si>
    <t>Ф62 х H61 мм</t>
  </si>
  <si>
    <t>LED луна Orion AJ</t>
  </si>
  <si>
    <t>Ø80 / H61 мм</t>
  </si>
  <si>
    <t>10W</t>
  </si>
  <si>
    <t>750lm</t>
  </si>
  <si>
    <t>LED луна Accord RD</t>
  </si>
  <si>
    <t>1000lm</t>
  </si>
  <si>
    <t>Ф94 х H64</t>
  </si>
  <si>
    <t xml:space="preserve">LED прожектор Eye magnet </t>
  </si>
  <si>
    <t>960lm</t>
  </si>
  <si>
    <t>48V</t>
  </si>
  <si>
    <t>Ф45мм</t>
  </si>
  <si>
    <t>LED линеен осветител Band magnet mini</t>
  </si>
  <si>
    <t>L450 мм</t>
  </si>
  <si>
    <t>Магнитен профил ОМ Slim</t>
  </si>
  <si>
    <t>Материал:</t>
  </si>
  <si>
    <t>Алуминий</t>
  </si>
  <si>
    <t>2000 мм</t>
  </si>
  <si>
    <t>Захранващ блок вграден в шина 150W/48V черен Slim</t>
  </si>
  <si>
    <t>Механичен ъгъл ТТ за магнитен профил черен ОМ 23мм Slim</t>
  </si>
  <si>
    <t>Ел. Ъгъл за магнитен профил черен</t>
  </si>
  <si>
    <t>Метална снадка за магн. профил ОМ 23мм Slim черен</t>
  </si>
  <si>
    <t>LED линеен осветител Band magnet 23мм</t>
  </si>
  <si>
    <t>L300 мм</t>
  </si>
  <si>
    <t>Захранващ блок вграден в шина 200W/48V бял</t>
  </si>
  <si>
    <t>180lm</t>
  </si>
  <si>
    <t>LED осветител за стълби Bizzare</t>
  </si>
  <si>
    <t>85 / 85 / 53 мм</t>
  </si>
  <si>
    <t>2,5W</t>
  </si>
  <si>
    <t>Ел. Ъгъл за магнитен профил бял</t>
  </si>
  <si>
    <t>3000К</t>
  </si>
  <si>
    <t>24V</t>
  </si>
  <si>
    <t>Цветопредаване:</t>
  </si>
  <si>
    <t>RA&gt;90</t>
  </si>
  <si>
    <t>L5000 мм</t>
  </si>
  <si>
    <t>Захр. Блок 60W/24V Philips</t>
  </si>
  <si>
    <t>Захр. Блок 120W/24V Philips</t>
  </si>
  <si>
    <t>Захр. Блок 180W/24V Philips</t>
  </si>
  <si>
    <t>Алуминиев профил 616 + опал дифузер 3 метра</t>
  </si>
  <si>
    <t>LED лента Proton</t>
  </si>
  <si>
    <t>9,6W/м</t>
  </si>
  <si>
    <t>1200lm/м</t>
  </si>
  <si>
    <t>LED Луна Vivienne 1009</t>
  </si>
  <si>
    <t>450lm</t>
  </si>
  <si>
    <t>Ф82 х H88 мм</t>
  </si>
  <si>
    <t>Чертеж</t>
  </si>
  <si>
    <t xml:space="preserve">Оферта Севдана - къща - Поръчка 3 </t>
  </si>
  <si>
    <t>Обща цена без ДДС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</si>
</sst>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.00_);_(&quot;$&quot;* \(#,##0.00\);_(&quot;$&quot;* &quot;-&quot;??_);_(@_)"/>
    <numFmt numFmtId="165" formatCode="&quot;$&quot;#,##0.00"/>
    <numFmt numFmtId="166" formatCode="[&lt;=9999999]###\-####;\(###\)\ ###\-####"/>
    <numFmt numFmtId="167" formatCode="#,##0.00\ &quot;лв.&quot;"/>
    <numFmt numFmtId="168" formatCode="#,##0.00\ [$€-1]"/>
  </numFmts>
  <fonts count="21" x14ac:knownFonts="1">
    <font>
      <sz val="11"/>
      <color theme="3" tint="-0.2499465926084170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8"/>
      <name val="Arial"/>
      <family val="2"/>
    </font>
    <font>
      <sz val="11"/>
      <color theme="0"/>
      <name val="Segoe UI Light"/>
      <family val="2"/>
      <scheme val="major"/>
    </font>
    <font>
      <sz val="36"/>
      <color theme="4" tint="-0.24994659260841701"/>
      <name val="Segoe UI Light"/>
      <family val="2"/>
      <scheme val="major"/>
    </font>
    <font>
      <i/>
      <sz val="11"/>
      <color theme="3" tint="-0.24994659260841701"/>
      <name val="Segoe UI"/>
      <family val="2"/>
      <scheme val="minor"/>
    </font>
    <font>
      <sz val="12"/>
      <color theme="4" tint="-0.499984740745262"/>
      <name val="Segoe UI"/>
      <family val="2"/>
      <scheme val="minor"/>
    </font>
    <font>
      <sz val="11"/>
      <color theme="4" tint="-0.499984740745262"/>
      <name val="Segoe UI"/>
      <family val="2"/>
      <scheme val="minor"/>
    </font>
    <font>
      <sz val="11"/>
      <color theme="3" tint="-0.24994659260841701"/>
      <name val="Segoe UI"/>
      <family val="2"/>
      <scheme val="minor"/>
    </font>
    <font>
      <sz val="11"/>
      <color theme="3" tint="-0.24994659260841701"/>
      <name val="Arial"/>
      <family val="2"/>
    </font>
    <font>
      <b/>
      <sz val="11"/>
      <color theme="3" tint="-0.24994659260841701"/>
      <name val="Segoe UI"/>
      <family val="2"/>
      <scheme val="minor"/>
    </font>
    <font>
      <sz val="9"/>
      <color theme="3" tint="-0.24994659260841701"/>
      <name val="Segoe UI"/>
      <family val="2"/>
      <scheme val="minor"/>
    </font>
    <font>
      <sz val="11"/>
      <color theme="3" tint="-0.24994659260841701"/>
      <name val="Segoe UI"/>
      <family val="2"/>
      <charset val="204"/>
      <scheme val="minor"/>
    </font>
    <font>
      <sz val="10"/>
      <name val="Segoe UI"/>
      <family val="2"/>
      <scheme val="minor"/>
    </font>
    <font>
      <b/>
      <sz val="11"/>
      <name val="Segoe UI"/>
      <family val="2"/>
      <charset val="204"/>
      <scheme val="minor"/>
    </font>
    <font>
      <sz val="11"/>
      <name val="Segoe UI"/>
      <family val="2"/>
      <charset val="204"/>
      <scheme val="minor"/>
    </font>
    <font>
      <b/>
      <sz val="11"/>
      <color theme="3" tint="-0.24994659260841701"/>
      <name val="Segoe UI"/>
      <family val="2"/>
      <charset val="204"/>
      <scheme val="minor"/>
    </font>
    <font>
      <sz val="11"/>
      <color rgb="FFFF0000"/>
      <name val="Segoe UI"/>
      <family val="2"/>
      <scheme val="minor"/>
    </font>
    <font>
      <b/>
      <sz val="16"/>
      <color theme="3" tint="-0.24994659260841701"/>
      <name val="Segoe UI"/>
      <family val="2"/>
      <charset val="204"/>
      <scheme val="minor"/>
    </font>
    <font>
      <sz val="10"/>
      <color theme="1"/>
      <name val="Segoe U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gradientFill degree="90">
        <stop position="0">
          <color theme="4"/>
        </stop>
        <stop position="1">
          <color theme="4" tint="-0.49803155613879818"/>
        </stop>
      </gradient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20">
    <xf numFmtId="0" fontId="0" fillId="0" borderId="0">
      <alignment horizontal="left" wrapText="1"/>
    </xf>
    <xf numFmtId="0" fontId="8" fillId="0" borderId="0" applyNumberFormat="0" applyProtection="0">
      <alignment horizontal="center" vertical="center" wrapText="1"/>
    </xf>
    <xf numFmtId="0" fontId="5" fillId="0" borderId="0" applyNumberFormat="0" applyFill="0" applyBorder="0" applyProtection="0">
      <alignment horizontal="right" vertical="center"/>
    </xf>
    <xf numFmtId="0" fontId="6" fillId="0" borderId="0" applyNumberFormat="0" applyFill="0" applyProtection="0">
      <alignment horizontal="left" wrapText="1"/>
    </xf>
    <xf numFmtId="0" fontId="7" fillId="0" borderId="0" applyNumberFormat="0" applyFill="0" applyProtection="0">
      <alignment horizontal="left"/>
    </xf>
    <xf numFmtId="0" fontId="8" fillId="0" borderId="0" applyNumberFormat="0" applyFill="0" applyProtection="0">
      <alignment horizontal="right"/>
    </xf>
    <xf numFmtId="0" fontId="4" fillId="3" borderId="0" applyNumberFormat="0" applyBorder="0" applyProtection="0">
      <alignment horizontal="left"/>
    </xf>
    <xf numFmtId="0" fontId="9" fillId="0" borderId="0" applyNumberFormat="0" applyFill="0" applyBorder="0" applyProtection="0">
      <alignment horizontal="center" vertical="center" wrapText="1"/>
    </xf>
    <xf numFmtId="0" fontId="11" fillId="0" borderId="0" applyNumberFormat="0" applyFill="0" applyProtection="0">
      <alignment horizontal="right" vertical="center" indent="9"/>
    </xf>
    <xf numFmtId="0" fontId="1" fillId="2" borderId="0" applyNumberFormat="0" applyBorder="0" applyProtection="0">
      <alignment horizontal="left" vertical="center" wrapText="1"/>
    </xf>
    <xf numFmtId="14" fontId="10" fillId="0" borderId="0" applyFont="0" applyFill="0" applyBorder="0">
      <alignment horizontal="left"/>
    </xf>
    <xf numFmtId="166" fontId="9" fillId="0" borderId="0" applyFont="0" applyFill="0" applyBorder="0">
      <alignment horizontal="left" vertical="top" wrapText="1"/>
    </xf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165" fontId="9" fillId="0" borderId="0" applyFont="0" applyFill="0" applyBorder="0" applyProtection="0">
      <alignment horizontal="left" vertical="center"/>
    </xf>
    <xf numFmtId="10" fontId="9" fillId="0" borderId="0" applyFont="0" applyFill="0" applyBorder="0" applyProtection="0">
      <alignment horizontal="left" vertical="center"/>
    </xf>
    <xf numFmtId="0" fontId="9" fillId="0" borderId="0" applyNumberFormat="0" applyFont="0" applyFill="0" applyBorder="0">
      <alignment horizontal="right" vertical="center" wrapText="1"/>
    </xf>
    <xf numFmtId="164" fontId="9" fillId="0" borderId="0" applyFont="0" applyFill="0" applyBorder="0" applyProtection="0">
      <alignment horizontal="right" vertical="center"/>
    </xf>
    <xf numFmtId="164" fontId="2" fillId="4" borderId="0" applyBorder="0" applyAlignment="0" applyProtection="0"/>
    <xf numFmtId="0" fontId="4" fillId="3" borderId="0">
      <alignment horizontal="left"/>
    </xf>
  </cellStyleXfs>
  <cellXfs count="65">
    <xf numFmtId="0" fontId="0" fillId="0" borderId="0" xfId="0">
      <alignment horizontal="left" wrapText="1"/>
    </xf>
    <xf numFmtId="0" fontId="0" fillId="0" borderId="0" xfId="0">
      <alignment horizontal="left" wrapText="1"/>
    </xf>
    <xf numFmtId="0" fontId="0" fillId="0" borderId="0" xfId="0">
      <alignment horizontal="left" wrapText="1"/>
    </xf>
    <xf numFmtId="0" fontId="0" fillId="0" borderId="0" xfId="0" applyAlignment="1">
      <alignment horizontal="center" vertical="center" wrapText="1"/>
    </xf>
    <xf numFmtId="0" fontId="13" fillId="0" borderId="0" xfId="0" applyFont="1">
      <alignment horizontal="left" wrapText="1"/>
    </xf>
    <xf numFmtId="167" fontId="16" fillId="0" borderId="0" xfId="0" applyNumberFormat="1" applyFont="1" applyAlignment="1">
      <alignment horizontal="right" vertical="center" wrapText="1"/>
    </xf>
    <xf numFmtId="0" fontId="13" fillId="6" borderId="0" xfId="0" applyFont="1" applyFill="1">
      <alignment horizontal="left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>
      <alignment horizontal="left" wrapText="1"/>
    </xf>
    <xf numFmtId="0" fontId="14" fillId="6" borderId="2" xfId="0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0" fillId="0" borderId="2" xfId="0" applyBorder="1">
      <alignment horizontal="left" wrapText="1"/>
    </xf>
    <xf numFmtId="0" fontId="14" fillId="6" borderId="2" xfId="0" applyFont="1" applyFill="1" applyBorder="1" applyAlignment="1">
      <alignment horizontal="center" wrapText="1"/>
    </xf>
    <xf numFmtId="0" fontId="17" fillId="5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20" fillId="6" borderId="1" xfId="0" applyFont="1" applyFill="1" applyBorder="1" applyAlignment="1">
      <alignment horizontal="center" wrapText="1"/>
    </xf>
    <xf numFmtId="0" fontId="14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center" wrapText="1"/>
    </xf>
    <xf numFmtId="0" fontId="20" fillId="6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18" fillId="0" borderId="0" xfId="0" applyFont="1" applyAlignment="1">
      <alignment horizontal="left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20" fillId="6" borderId="3" xfId="0" applyFont="1" applyFill="1" applyBorder="1" applyAlignment="1">
      <alignment horizont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7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right" vertical="center" wrapText="1"/>
    </xf>
    <xf numFmtId="0" fontId="16" fillId="0" borderId="0" xfId="0" applyFont="1" applyBorder="1" applyAlignment="1">
      <alignment horizontal="right" vertical="center" wrapText="1"/>
    </xf>
    <xf numFmtId="0" fontId="12" fillId="0" borderId="0" xfId="0" applyFont="1" applyAlignment="1">
      <alignment horizontal="left" wrapText="1"/>
    </xf>
    <xf numFmtId="0" fontId="17" fillId="5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8" fontId="14" fillId="6" borderId="2" xfId="0" applyNumberFormat="1" applyFont="1" applyFill="1" applyBorder="1" applyAlignment="1">
      <alignment horizontal="center" vertical="center" wrapText="1"/>
    </xf>
    <xf numFmtId="168" fontId="14" fillId="6" borderId="0" xfId="0" applyNumberFormat="1" applyFont="1" applyFill="1" applyAlignment="1">
      <alignment horizontal="center" vertical="center" wrapText="1"/>
    </xf>
    <xf numFmtId="168" fontId="14" fillId="6" borderId="0" xfId="0" applyNumberFormat="1" applyFont="1" applyFill="1" applyBorder="1" applyAlignment="1">
      <alignment horizontal="center" vertical="center" wrapText="1"/>
    </xf>
    <xf numFmtId="168" fontId="14" fillId="6" borderId="1" xfId="0" applyNumberFormat="1" applyFont="1" applyFill="1" applyBorder="1" applyAlignment="1">
      <alignment horizontal="center" vertical="center" wrapText="1"/>
    </xf>
    <xf numFmtId="168" fontId="14" fillId="6" borderId="3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Border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</cellXfs>
  <cellStyles count="20">
    <cellStyle name="20% - Accent1" xfId="9" builtinId="30" customBuiltin="1"/>
    <cellStyle name="40% - Accent1" xfId="18" builtinId="31" customBuiltin="1"/>
    <cellStyle name="Currency" xfId="14" builtinId="4" customBuiltin="1"/>
    <cellStyle name="Currency [0]" xfId="17" builtinId="7" customBuiltin="1"/>
    <cellStyle name="Date" xfId="10" xr:uid="{00000000-0005-0000-0000-000004000000}"/>
    <cellStyle name="Explanatory Text" xfId="7" builtinId="53" customBuiltin="1"/>
    <cellStyle name="Followed Hyperlink" xfId="13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2" builtinId="8" customBuiltin="1"/>
    <cellStyle name="Normal" xfId="0" builtinId="0" customBuiltin="1"/>
    <cellStyle name="Note" xfId="1" builtinId="10" customBuiltin="1"/>
    <cellStyle name="Percent" xfId="15" builtinId="5" customBuiltin="1"/>
    <cellStyle name="Phone" xfId="11" xr:uid="{00000000-0005-0000-0000-00000F000000}"/>
    <cellStyle name="Right Alignment" xfId="16" xr:uid="{00000000-0005-0000-0000-000010000000}"/>
    <cellStyle name="Style 1" xfId="19" xr:uid="{00000000-0005-0000-0000-000011000000}"/>
    <cellStyle name="Title" xfId="2" builtinId="15" customBuiltin="1"/>
    <cellStyle name="Total" xfId="8" builtinId="25" customBuiltin="1"/>
  </cellStyles>
  <dxfs count="7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color theme="3" tint="-0.24994659260841701"/>
      </font>
    </dxf>
    <dxf>
      <font>
        <b/>
        <color theme="1"/>
      </font>
    </dxf>
    <dxf>
      <font>
        <b val="0"/>
        <i val="0"/>
        <color theme="3" tint="-0.24994659260841701"/>
      </font>
      <border diagonalUp="0" diagonalDown="0">
        <left/>
        <right/>
        <top style="thin">
          <color theme="4" tint="0.39991454817346722"/>
        </top>
        <bottom/>
        <vertical/>
        <horizontal/>
      </border>
    </dxf>
    <dxf>
      <font>
        <b val="0"/>
        <i val="0"/>
        <color theme="0"/>
      </font>
      <fill>
        <gradientFill degree="90">
          <stop position="0">
            <color theme="4"/>
          </stop>
          <stop position="1">
            <color theme="4" tint="-0.49803155613879818"/>
          </stop>
        </gradientFill>
      </fill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Service Invoice" defaultPivotStyle="PivotStyleLight16">
    <tableStyle name="Service Invoice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17</xdr:row>
      <xdr:rowOff>100852</xdr:rowOff>
    </xdr:from>
    <xdr:to>
      <xdr:col>2</xdr:col>
      <xdr:colOff>1266263</xdr:colOff>
      <xdr:row>23</xdr:row>
      <xdr:rowOff>94618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7BFE804-F0DC-4272-B7E7-21F547D6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265" y="4325470"/>
          <a:ext cx="806822" cy="127123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24</xdr:row>
      <xdr:rowOff>78442</xdr:rowOff>
    </xdr:from>
    <xdr:to>
      <xdr:col>2</xdr:col>
      <xdr:colOff>1378323</xdr:colOff>
      <xdr:row>30</xdr:row>
      <xdr:rowOff>183029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9E11A7F-74A4-4E84-8172-5867824F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824" y="5793442"/>
          <a:ext cx="997323" cy="1382058"/>
        </a:xfrm>
        <a:prstGeom prst="rect">
          <a:avLst/>
        </a:prstGeom>
      </xdr:spPr>
    </xdr:pic>
    <xdr:clientData/>
  </xdr:twoCellAnchor>
  <xdr:twoCellAnchor editAs="oneCell">
    <xdr:from>
      <xdr:col>2</xdr:col>
      <xdr:colOff>403412</xdr:colOff>
      <xdr:row>45</xdr:row>
      <xdr:rowOff>44822</xdr:rowOff>
    </xdr:from>
    <xdr:to>
      <xdr:col>2</xdr:col>
      <xdr:colOff>1493360</xdr:colOff>
      <xdr:row>51</xdr:row>
      <xdr:rowOff>168088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ABF9445-FEF3-42B6-8728-11E64C3F8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236" y="10230969"/>
          <a:ext cx="1089948" cy="140073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38</xdr:row>
      <xdr:rowOff>123266</xdr:rowOff>
    </xdr:from>
    <xdr:to>
      <xdr:col>2</xdr:col>
      <xdr:colOff>1771103</xdr:colOff>
      <xdr:row>44</xdr:row>
      <xdr:rowOff>168089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78C09-B48E-4FA9-955D-EF39518EE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5825" y="8819031"/>
          <a:ext cx="1771102" cy="1322294"/>
        </a:xfrm>
        <a:prstGeom prst="rect">
          <a:avLst/>
        </a:prstGeom>
      </xdr:spPr>
    </xdr:pic>
    <xdr:clientData/>
  </xdr:twoCellAnchor>
  <xdr:twoCellAnchor editAs="oneCell">
    <xdr:from>
      <xdr:col>2</xdr:col>
      <xdr:colOff>425826</xdr:colOff>
      <xdr:row>31</xdr:row>
      <xdr:rowOff>145677</xdr:rowOff>
    </xdr:from>
    <xdr:to>
      <xdr:col>2</xdr:col>
      <xdr:colOff>1385126</xdr:colOff>
      <xdr:row>37</xdr:row>
      <xdr:rowOff>78442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4D024-66A3-486C-A990-91BD669BE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1650" y="7351059"/>
          <a:ext cx="959300" cy="1210235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224117</xdr:colOff>
      <xdr:row>10</xdr:row>
      <xdr:rowOff>156882</xdr:rowOff>
    </xdr:from>
    <xdr:to>
      <xdr:col>2</xdr:col>
      <xdr:colOff>1759322</xdr:colOff>
      <xdr:row>16</xdr:row>
      <xdr:rowOff>94783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D1F3A7-7EF4-4A9B-815B-1FBBB07BA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9941" y="2891117"/>
          <a:ext cx="1535205" cy="1215371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313765</xdr:colOff>
      <xdr:row>52</xdr:row>
      <xdr:rowOff>123265</xdr:rowOff>
    </xdr:from>
    <xdr:to>
      <xdr:col>2</xdr:col>
      <xdr:colOff>1974629</xdr:colOff>
      <xdr:row>58</xdr:row>
      <xdr:rowOff>56030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7BA379-962A-48EF-AD57-E88AEDE8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4618" y="11799794"/>
          <a:ext cx="1985835" cy="1210235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268942</xdr:colOff>
      <xdr:row>59</xdr:row>
      <xdr:rowOff>56030</xdr:rowOff>
    </xdr:from>
    <xdr:to>
      <xdr:col>2</xdr:col>
      <xdr:colOff>2011184</xdr:colOff>
      <xdr:row>65</xdr:row>
      <xdr:rowOff>145678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24D97D-7173-4EF8-A40E-7ED438DA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9795" y="13222942"/>
          <a:ext cx="2067213" cy="1367119"/>
        </a:xfrm>
        <a:prstGeom prst="rect">
          <a:avLst/>
        </a:prstGeom>
      </xdr:spPr>
    </xdr:pic>
    <xdr:clientData/>
  </xdr:twoCellAnchor>
  <xdr:oneCellAnchor>
    <xdr:from>
      <xdr:col>1</xdr:col>
      <xdr:colOff>302559</xdr:colOff>
      <xdr:row>66</xdr:row>
      <xdr:rowOff>112059</xdr:rowOff>
    </xdr:from>
    <xdr:ext cx="2050991" cy="1266264"/>
    <xdr:pic>
      <xdr:nvPicPr>
        <xdr:cNvPr id="14" name="Picture 13">
          <a:extLst>
            <a:ext uri="{FF2B5EF4-FFF2-40B4-BE49-F238E27FC236}">
              <a16:creationId xmlns:a16="http://schemas.microsoft.com/office/drawing/2014/main" id="{6FC2DAD7-AD61-47D3-B73F-F8A2AB954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3412" y="14769353"/>
          <a:ext cx="2050991" cy="1266264"/>
        </a:xfrm>
        <a:prstGeom prst="rect">
          <a:avLst/>
        </a:prstGeom>
      </xdr:spPr>
    </xdr:pic>
    <xdr:clientData/>
  </xdr:oneCellAnchor>
  <xdr:twoCellAnchor editAs="oneCell">
    <xdr:from>
      <xdr:col>1</xdr:col>
      <xdr:colOff>291352</xdr:colOff>
      <xdr:row>80</xdr:row>
      <xdr:rowOff>44822</xdr:rowOff>
    </xdr:from>
    <xdr:to>
      <xdr:col>2</xdr:col>
      <xdr:colOff>2009434</xdr:colOff>
      <xdr:row>86</xdr:row>
      <xdr:rowOff>156881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91AF05-4F82-43F5-A0D6-DFFBCC25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2205" y="17682881"/>
          <a:ext cx="2043053" cy="1389530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87</xdr:row>
      <xdr:rowOff>67235</xdr:rowOff>
    </xdr:from>
    <xdr:to>
      <xdr:col>2</xdr:col>
      <xdr:colOff>1965861</xdr:colOff>
      <xdr:row>93</xdr:row>
      <xdr:rowOff>168089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35F12D1-C746-4E92-9685-CBE69EC99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3412" y="19195676"/>
          <a:ext cx="1988273" cy="1378324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291353</xdr:colOff>
      <xdr:row>105</xdr:row>
      <xdr:rowOff>89647</xdr:rowOff>
    </xdr:from>
    <xdr:to>
      <xdr:col>3</xdr:col>
      <xdr:colOff>76718</xdr:colOff>
      <xdr:row>111</xdr:row>
      <xdr:rowOff>112058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8E58921-FEE2-4CAF-BC24-D23BCD8C7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2206" y="23050500"/>
          <a:ext cx="2149806" cy="1299882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112</xdr:row>
      <xdr:rowOff>123266</xdr:rowOff>
    </xdr:from>
    <xdr:to>
      <xdr:col>3</xdr:col>
      <xdr:colOff>11205</xdr:colOff>
      <xdr:row>118</xdr:row>
      <xdr:rowOff>123266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B891E48-0B56-4C3A-BA0E-1085E54BA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7030" y="24574501"/>
          <a:ext cx="2039469" cy="1277470"/>
        </a:xfrm>
        <a:prstGeom prst="rect">
          <a:avLst/>
        </a:prstGeom>
      </xdr:spPr>
    </xdr:pic>
    <xdr:clientData/>
  </xdr:twoCellAnchor>
  <xdr:twoCellAnchor editAs="oneCell">
    <xdr:from>
      <xdr:col>2</xdr:col>
      <xdr:colOff>100852</xdr:colOff>
      <xdr:row>94</xdr:row>
      <xdr:rowOff>44824</xdr:rowOff>
    </xdr:from>
    <xdr:to>
      <xdr:col>2</xdr:col>
      <xdr:colOff>1848969</xdr:colOff>
      <xdr:row>100</xdr:row>
      <xdr:rowOff>146077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DE0E98A-7731-4C58-97C9-41D55D9AC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6676" y="20663648"/>
          <a:ext cx="1748117" cy="1378723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123264</xdr:colOff>
      <xdr:row>121</xdr:row>
      <xdr:rowOff>123266</xdr:rowOff>
    </xdr:from>
    <xdr:to>
      <xdr:col>2</xdr:col>
      <xdr:colOff>1866695</xdr:colOff>
      <xdr:row>127</xdr:row>
      <xdr:rowOff>89647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143BE2-4B92-479E-88ED-2F7FD15F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9088" y="26490707"/>
          <a:ext cx="1743431" cy="1243851"/>
        </a:xfrm>
        <a:prstGeom prst="rect">
          <a:avLst/>
        </a:prstGeom>
      </xdr:spPr>
    </xdr:pic>
    <xdr:clientData/>
  </xdr:twoCellAnchor>
  <xdr:twoCellAnchor editAs="oneCell">
    <xdr:from>
      <xdr:col>2</xdr:col>
      <xdr:colOff>-1</xdr:colOff>
      <xdr:row>128</xdr:row>
      <xdr:rowOff>112058</xdr:rowOff>
    </xdr:from>
    <xdr:to>
      <xdr:col>3</xdr:col>
      <xdr:colOff>50862</xdr:colOff>
      <xdr:row>134</xdr:row>
      <xdr:rowOff>156882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E06232-62F9-4A77-A44E-55749FBF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5823" y="27969882"/>
          <a:ext cx="2090333" cy="1322294"/>
        </a:xfrm>
        <a:prstGeom prst="rect">
          <a:avLst/>
        </a:prstGeom>
      </xdr:spPr>
    </xdr:pic>
    <xdr:clientData/>
  </xdr:twoCellAnchor>
  <xdr:twoCellAnchor editAs="oneCell">
    <xdr:from>
      <xdr:col>2</xdr:col>
      <xdr:colOff>56029</xdr:colOff>
      <xdr:row>73</xdr:row>
      <xdr:rowOff>112059</xdr:rowOff>
    </xdr:from>
    <xdr:to>
      <xdr:col>2</xdr:col>
      <xdr:colOff>1800456</xdr:colOff>
      <xdr:row>79</xdr:row>
      <xdr:rowOff>123267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18E7389-8E7B-4558-845C-AE820C6B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1853" y="16259735"/>
          <a:ext cx="1744427" cy="1288678"/>
        </a:xfrm>
        <a:prstGeom prst="rect">
          <a:avLst/>
        </a:prstGeom>
      </xdr:spPr>
    </xdr:pic>
    <xdr:clientData/>
  </xdr:twoCellAnchor>
  <xdr:twoCellAnchor>
    <xdr:from>
      <xdr:col>3</xdr:col>
      <xdr:colOff>885265</xdr:colOff>
      <xdr:row>0</xdr:row>
      <xdr:rowOff>414618</xdr:rowOff>
    </xdr:from>
    <xdr:to>
      <xdr:col>4</xdr:col>
      <xdr:colOff>1166532</xdr:colOff>
      <xdr:row>1</xdr:row>
      <xdr:rowOff>123405</xdr:rowOff>
    </xdr:to>
    <xdr:pic>
      <xdr:nvPicPr>
        <xdr:cNvPr id="25" name="Picture 11">
          <a:extLst>
            <a:ext uri="{FF2B5EF4-FFF2-40B4-BE49-F238E27FC236}">
              <a16:creationId xmlns:a16="http://schemas.microsoft.com/office/drawing/2014/main" id="{3CEEE2A1-3781-49B8-971D-40D9170BA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414618"/>
          <a:ext cx="1771650" cy="26908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997324</xdr:colOff>
      <xdr:row>2</xdr:row>
      <xdr:rowOff>112057</xdr:rowOff>
    </xdr:from>
    <xdr:to>
      <xdr:col>4</xdr:col>
      <xdr:colOff>1066075</xdr:colOff>
      <xdr:row>4</xdr:row>
      <xdr:rowOff>123264</xdr:rowOff>
    </xdr:to>
    <xdr:pic>
      <xdr:nvPicPr>
        <xdr:cNvPr id="26" name="Picture 3">
          <a:extLst>
            <a:ext uri="{FF2B5EF4-FFF2-40B4-BE49-F238E27FC236}">
              <a16:creationId xmlns:a16="http://schemas.microsoft.com/office/drawing/2014/main" id="{E442ED95-444C-48F0-8E32-17636F5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1059" y="1086969"/>
          <a:ext cx="1559134" cy="4370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1053355</xdr:colOff>
      <xdr:row>0</xdr:row>
      <xdr:rowOff>246530</xdr:rowOff>
    </xdr:from>
    <xdr:to>
      <xdr:col>5</xdr:col>
      <xdr:colOff>2360479</xdr:colOff>
      <xdr:row>1</xdr:row>
      <xdr:rowOff>235324</xdr:rowOff>
    </xdr:to>
    <xdr:pic>
      <xdr:nvPicPr>
        <xdr:cNvPr id="27" name="Picture 13">
          <a:extLst>
            <a:ext uri="{FF2B5EF4-FFF2-40B4-BE49-F238E27FC236}">
              <a16:creationId xmlns:a16="http://schemas.microsoft.com/office/drawing/2014/main" id="{634000B5-FAE0-4F69-B819-7A43F40DE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2884" y="246530"/>
          <a:ext cx="1307124" cy="5490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739590</xdr:colOff>
      <xdr:row>2</xdr:row>
      <xdr:rowOff>145678</xdr:rowOff>
    </xdr:from>
    <xdr:to>
      <xdr:col>5</xdr:col>
      <xdr:colOff>2599766</xdr:colOff>
      <xdr:row>4</xdr:row>
      <xdr:rowOff>138527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281B5A-B409-4D0D-B06C-34CBCC2F2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939119" y="1120590"/>
          <a:ext cx="1860176" cy="418672"/>
        </a:xfrm>
        <a:prstGeom prst="rect">
          <a:avLst/>
        </a:prstGeom>
      </xdr:spPr>
    </xdr:pic>
    <xdr:clientData/>
  </xdr:twoCellAnchor>
  <xdr:twoCellAnchor editAs="oneCell">
    <xdr:from>
      <xdr:col>1</xdr:col>
      <xdr:colOff>56028</xdr:colOff>
      <xdr:row>0</xdr:row>
      <xdr:rowOff>268940</xdr:rowOff>
    </xdr:from>
    <xdr:to>
      <xdr:col>3</xdr:col>
      <xdr:colOff>381000</xdr:colOff>
      <xdr:row>1</xdr:row>
      <xdr:rowOff>307426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8B2D7C-EAB9-4580-BB7C-C55C4297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1" y="268940"/>
          <a:ext cx="2689413" cy="598780"/>
        </a:xfrm>
        <a:prstGeom prst="rect">
          <a:avLst/>
        </a:prstGeom>
      </xdr:spPr>
    </xdr:pic>
    <xdr:clientData/>
  </xdr:twoCellAnchor>
  <xdr:twoCellAnchor editAs="oneCell">
    <xdr:from>
      <xdr:col>5</xdr:col>
      <xdr:colOff>3787586</xdr:colOff>
      <xdr:row>0</xdr:row>
      <xdr:rowOff>212912</xdr:rowOff>
    </xdr:from>
    <xdr:to>
      <xdr:col>8</xdr:col>
      <xdr:colOff>627527</xdr:colOff>
      <xdr:row>2</xdr:row>
      <xdr:rowOff>7858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8F25814-C22C-49E8-ADCD-41DDB2E2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7115" y="212912"/>
          <a:ext cx="1658471" cy="769858"/>
        </a:xfrm>
        <a:prstGeom prst="rect">
          <a:avLst/>
        </a:prstGeom>
      </xdr:spPr>
    </xdr:pic>
    <xdr:clientData/>
  </xdr:twoCellAnchor>
  <xdr:twoCellAnchor editAs="oneCell">
    <xdr:from>
      <xdr:col>5</xdr:col>
      <xdr:colOff>3462622</xdr:colOff>
      <xdr:row>2</xdr:row>
      <xdr:rowOff>67235</xdr:rowOff>
    </xdr:from>
    <xdr:to>
      <xdr:col>8</xdr:col>
      <xdr:colOff>649945</xdr:colOff>
      <xdr:row>5</xdr:row>
      <xdr:rowOff>240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AE2C785-E1C1-4424-93FD-13ABA521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2151" y="1042147"/>
          <a:ext cx="2005853" cy="57174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381001</xdr:colOff>
      <xdr:row>0</xdr:row>
      <xdr:rowOff>257736</xdr:rowOff>
    </xdr:from>
    <xdr:to>
      <xdr:col>10</xdr:col>
      <xdr:colOff>1086972</xdr:colOff>
      <xdr:row>1</xdr:row>
      <xdr:rowOff>385680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F82E485-6039-4966-B7DC-03FD109B5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736" y="257736"/>
          <a:ext cx="1815353" cy="688238"/>
        </a:xfrm>
        <a:prstGeom prst="rect">
          <a:avLst/>
        </a:prstGeom>
      </xdr:spPr>
    </xdr:pic>
    <xdr:clientData/>
  </xdr:twoCellAnchor>
  <xdr:twoCellAnchor editAs="oneCell">
    <xdr:from>
      <xdr:col>9</xdr:col>
      <xdr:colOff>358588</xdr:colOff>
      <xdr:row>2</xdr:row>
      <xdr:rowOff>89647</xdr:rowOff>
    </xdr:from>
    <xdr:to>
      <xdr:col>10</xdr:col>
      <xdr:colOff>1086971</xdr:colOff>
      <xdr:row>4</xdr:row>
      <xdr:rowOff>149109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201A8C3-D2A2-4B6D-B1D8-2142320EE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5323" y="1064559"/>
          <a:ext cx="1837765" cy="4852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156884</xdr:rowOff>
    </xdr:from>
    <xdr:to>
      <xdr:col>3</xdr:col>
      <xdr:colOff>1273543</xdr:colOff>
      <xdr:row>58</xdr:row>
      <xdr:rowOff>44826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7D5995-C6E7-4647-9AF7-17DF88645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65294" y="11833413"/>
          <a:ext cx="1273543" cy="1165412"/>
        </a:xfrm>
        <a:prstGeom prst="rect">
          <a:avLst/>
        </a:prstGeom>
      </xdr:spPr>
    </xdr:pic>
    <xdr:clientData/>
  </xdr:twoCellAnchor>
  <xdr:twoCellAnchor editAs="oneCell">
    <xdr:from>
      <xdr:col>3</xdr:col>
      <xdr:colOff>56030</xdr:colOff>
      <xdr:row>59</xdr:row>
      <xdr:rowOff>112060</xdr:rowOff>
    </xdr:from>
    <xdr:to>
      <xdr:col>3</xdr:col>
      <xdr:colOff>1266265</xdr:colOff>
      <xdr:row>65</xdr:row>
      <xdr:rowOff>117803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5A25C7F-1AE7-4F81-A27C-990BC9019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21324" y="13278972"/>
          <a:ext cx="1210235" cy="128321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44824</xdr:colOff>
      <xdr:row>66</xdr:row>
      <xdr:rowOff>190500</xdr:rowOff>
    </xdr:from>
    <xdr:to>
      <xdr:col>3</xdr:col>
      <xdr:colOff>1277471</xdr:colOff>
      <xdr:row>72</xdr:row>
      <xdr:rowOff>104588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EE33F71-82CE-4507-A005-F5CBB9D08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10118" y="14847794"/>
          <a:ext cx="1232647" cy="1191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etro">
      <a:dk1>
        <a:srgbClr val="231F20"/>
      </a:dk1>
      <a:lt1>
        <a:sysClr val="window" lastClr="FFFFFF"/>
      </a:lt1>
      <a:dk2>
        <a:srgbClr val="595959"/>
      </a:dk2>
      <a:lt2>
        <a:srgbClr val="1FB25A"/>
      </a:lt2>
      <a:accent1>
        <a:srgbClr val="00AEDB"/>
      </a:accent1>
      <a:accent2>
        <a:srgbClr val="4F91CD"/>
      </a:accent2>
      <a:accent3>
        <a:srgbClr val="7D4199"/>
      </a:accent3>
      <a:accent4>
        <a:srgbClr val="D11241"/>
      </a:accent4>
      <a:accent5>
        <a:srgbClr val="F37736"/>
      </a:accent5>
      <a:accent6>
        <a:srgbClr val="FCB034"/>
      </a:accent6>
      <a:hlink>
        <a:srgbClr val="1FB25A"/>
      </a:hlink>
      <a:folHlink>
        <a:srgbClr val="00AEDB"/>
      </a:folHlink>
    </a:clrScheme>
    <a:fontScheme name="Segoe">
      <a:majorFont>
        <a:latin typeface="Segoe UI Light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K153"/>
  <sheetViews>
    <sheetView showGridLines="0" tabSelected="1" topLeftCell="A109" zoomScale="85" zoomScaleNormal="85" zoomScaleSheetLayoutView="55" workbookViewId="0">
      <selection activeCell="F71" sqref="F71"/>
    </sheetView>
  </sheetViews>
  <sheetFormatPr defaultColWidth="9" defaultRowHeight="30" customHeight="1" x14ac:dyDescent="0.3"/>
  <cols>
    <col min="1" max="1" width="1.25" style="1" customWidth="1"/>
    <col min="2" max="2" width="4.25" style="1" customWidth="1"/>
    <col min="3" max="3" width="26.75" style="2" customWidth="1"/>
    <col min="4" max="4" width="17.125" style="2" customWidth="1"/>
    <col min="5" max="5" width="17.625" style="1" customWidth="1"/>
    <col min="6" max="6" width="50.375" style="2" customWidth="1"/>
    <col min="7" max="7" width="7.375" style="1" customWidth="1"/>
    <col min="8" max="8" width="5.375" style="2" customWidth="1"/>
    <col min="9" max="9" width="17.125" style="2" customWidth="1"/>
    <col min="10" max="10" width="14.5" style="2" customWidth="1"/>
    <col min="11" max="11" width="19.875" style="1" customWidth="1"/>
  </cols>
  <sheetData>
    <row r="1" spans="1:11" ht="44.25" customHeight="1" x14ac:dyDescent="0.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33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16.5" x14ac:dyDescent="0.3">
      <c r="B3" s="55" t="s">
        <v>3</v>
      </c>
      <c r="C3" s="55"/>
      <c r="D3" s="45"/>
    </row>
    <row r="4" spans="1:11" ht="16.5" x14ac:dyDescent="0.3">
      <c r="B4" s="55" t="s">
        <v>10</v>
      </c>
      <c r="C4" s="55"/>
      <c r="D4" s="45"/>
    </row>
    <row r="5" spans="1:11" ht="16.5" x14ac:dyDescent="0.3">
      <c r="B5" s="55" t="s">
        <v>19</v>
      </c>
      <c r="C5" s="55"/>
      <c r="D5" s="45"/>
      <c r="H5" s="47"/>
      <c r="I5" s="47"/>
      <c r="J5" s="20"/>
    </row>
    <row r="6" spans="1:11" ht="16.5" x14ac:dyDescent="0.3">
      <c r="B6" s="55" t="s">
        <v>20</v>
      </c>
      <c r="C6" s="55"/>
      <c r="D6" s="45"/>
    </row>
    <row r="7" spans="1:11" s="2" customFormat="1" ht="16.5" x14ac:dyDescent="0.3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</row>
    <row r="8" spans="1:11" s="2" customFormat="1" ht="27.75" customHeight="1" x14ac:dyDescent="0.3">
      <c r="A8" s="57" t="s">
        <v>110</v>
      </c>
      <c r="B8" s="57"/>
      <c r="C8" s="57"/>
      <c r="D8" s="57"/>
      <c r="E8" s="57"/>
      <c r="F8" s="57"/>
      <c r="G8" s="57"/>
      <c r="H8" s="57"/>
      <c r="I8" s="57"/>
      <c r="J8" s="57"/>
      <c r="K8" s="57"/>
    </row>
    <row r="9" spans="1:11" s="2" customFormat="1" ht="7.5" customHeight="1" x14ac:dyDescent="0.3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</row>
    <row r="10" spans="1:11" s="3" customFormat="1" ht="16.5" x14ac:dyDescent="0.3">
      <c r="B10" s="10" t="s">
        <v>0</v>
      </c>
      <c r="C10" s="14" t="s">
        <v>2</v>
      </c>
      <c r="D10" s="46" t="s">
        <v>109</v>
      </c>
      <c r="E10" s="56" t="s">
        <v>1</v>
      </c>
      <c r="F10" s="56"/>
      <c r="G10" s="10" t="s">
        <v>8</v>
      </c>
      <c r="H10" s="10" t="s">
        <v>22</v>
      </c>
      <c r="I10" s="10" t="s">
        <v>9</v>
      </c>
      <c r="J10" s="22" t="s">
        <v>49</v>
      </c>
      <c r="K10" s="10" t="s">
        <v>111</v>
      </c>
    </row>
    <row r="11" spans="1:11" s="3" customFormat="1" ht="16.5" x14ac:dyDescent="0.25">
      <c r="B11" s="48">
        <v>1</v>
      </c>
      <c r="C11" s="23"/>
      <c r="D11" s="42"/>
      <c r="E11" s="9" t="s">
        <v>4</v>
      </c>
      <c r="F11" s="13" t="s">
        <v>58</v>
      </c>
      <c r="G11" s="48" t="s">
        <v>5</v>
      </c>
      <c r="H11" s="48">
        <v>1</v>
      </c>
      <c r="I11" s="58">
        <v>605</v>
      </c>
      <c r="J11" s="58">
        <f>I11*0.85</f>
        <v>514.25</v>
      </c>
      <c r="K11" s="58">
        <f>H11*J11</f>
        <v>514.25</v>
      </c>
    </row>
    <row r="12" spans="1:11" s="3" customFormat="1" ht="16.5" x14ac:dyDescent="0.25">
      <c r="B12" s="49"/>
      <c r="C12" s="24"/>
      <c r="D12" s="43"/>
      <c r="E12" s="17" t="s">
        <v>25</v>
      </c>
      <c r="F12" s="18" t="s">
        <v>56</v>
      </c>
      <c r="G12" s="49"/>
      <c r="H12" s="49"/>
      <c r="I12" s="59"/>
      <c r="J12" s="60"/>
      <c r="K12" s="60"/>
    </row>
    <row r="13" spans="1:11" s="3" customFormat="1" ht="16.5" x14ac:dyDescent="0.25">
      <c r="B13" s="49"/>
      <c r="C13" s="24"/>
      <c r="D13" s="43"/>
      <c r="E13" s="17" t="s">
        <v>26</v>
      </c>
      <c r="F13" s="18" t="s">
        <v>57</v>
      </c>
      <c r="G13" s="49"/>
      <c r="H13" s="49"/>
      <c r="I13" s="59"/>
      <c r="J13" s="60"/>
      <c r="K13" s="60"/>
    </row>
    <row r="14" spans="1:11" s="3" customFormat="1" ht="16.5" x14ac:dyDescent="0.25">
      <c r="B14" s="49"/>
      <c r="C14" s="24"/>
      <c r="D14" s="43"/>
      <c r="E14" s="17" t="s">
        <v>27</v>
      </c>
      <c r="F14" s="19" t="s">
        <v>29</v>
      </c>
      <c r="G14" s="49"/>
      <c r="H14" s="49"/>
      <c r="I14" s="59"/>
      <c r="J14" s="60"/>
      <c r="K14" s="60"/>
    </row>
    <row r="15" spans="1:11" s="3" customFormat="1" ht="16.5" x14ac:dyDescent="0.25">
      <c r="B15" s="49"/>
      <c r="C15" s="24"/>
      <c r="D15" s="43"/>
      <c r="E15" s="17" t="s">
        <v>21</v>
      </c>
      <c r="F15" s="18" t="s">
        <v>28</v>
      </c>
      <c r="G15" s="49"/>
      <c r="H15" s="49"/>
      <c r="I15" s="59"/>
      <c r="J15" s="60"/>
      <c r="K15" s="60"/>
    </row>
    <row r="16" spans="1:11" s="3" customFormat="1" ht="16.5" x14ac:dyDescent="0.25">
      <c r="B16" s="49"/>
      <c r="C16" s="24"/>
      <c r="D16" s="43"/>
      <c r="E16" s="17" t="s">
        <v>23</v>
      </c>
      <c r="F16" s="18" t="s">
        <v>24</v>
      </c>
      <c r="G16" s="49"/>
      <c r="H16" s="49"/>
      <c r="I16" s="59"/>
      <c r="J16" s="60"/>
      <c r="K16" s="60"/>
    </row>
    <row r="17" spans="2:11" s="3" customFormat="1" ht="16.5" x14ac:dyDescent="0.25">
      <c r="B17" s="50"/>
      <c r="C17" s="25"/>
      <c r="D17" s="44"/>
      <c r="E17" s="11" t="s">
        <v>15</v>
      </c>
      <c r="F17" s="16" t="s">
        <v>55</v>
      </c>
      <c r="G17" s="50"/>
      <c r="H17" s="50"/>
      <c r="I17" s="61"/>
      <c r="J17" s="61"/>
      <c r="K17" s="61"/>
    </row>
    <row r="18" spans="2:11" s="3" customFormat="1" ht="16.5" x14ac:dyDescent="0.25">
      <c r="B18" s="48">
        <v>2</v>
      </c>
      <c r="C18" s="23"/>
      <c r="D18" s="42"/>
      <c r="E18" s="9" t="s">
        <v>4</v>
      </c>
      <c r="F18" s="13" t="s">
        <v>31</v>
      </c>
      <c r="G18" s="48" t="s">
        <v>5</v>
      </c>
      <c r="H18" s="48">
        <v>2</v>
      </c>
      <c r="I18" s="58">
        <v>171.13</v>
      </c>
      <c r="J18" s="58">
        <f t="shared" ref="J18" si="0">I18*0.85</f>
        <v>145.4605</v>
      </c>
      <c r="K18" s="58">
        <f>H18*J18</f>
        <v>290.92099999999999</v>
      </c>
    </row>
    <row r="19" spans="2:11" s="3" customFormat="1" ht="16.5" x14ac:dyDescent="0.25">
      <c r="B19" s="49"/>
      <c r="C19" s="24"/>
      <c r="D19" s="43"/>
      <c r="E19" s="17" t="s">
        <v>25</v>
      </c>
      <c r="F19" s="18" t="s">
        <v>32</v>
      </c>
      <c r="G19" s="49"/>
      <c r="H19" s="49"/>
      <c r="I19" s="59"/>
      <c r="J19" s="60"/>
      <c r="K19" s="60"/>
    </row>
    <row r="20" spans="2:11" s="3" customFormat="1" ht="16.5" x14ac:dyDescent="0.25">
      <c r="B20" s="49"/>
      <c r="C20" s="24"/>
      <c r="D20" s="43"/>
      <c r="E20" s="17" t="s">
        <v>26</v>
      </c>
      <c r="F20" s="18" t="s">
        <v>33</v>
      </c>
      <c r="G20" s="49"/>
      <c r="H20" s="49"/>
      <c r="I20" s="59"/>
      <c r="J20" s="60"/>
      <c r="K20" s="60"/>
    </row>
    <row r="21" spans="2:11" s="3" customFormat="1" ht="16.5" x14ac:dyDescent="0.25">
      <c r="B21" s="49"/>
      <c r="C21" s="24"/>
      <c r="D21" s="43"/>
      <c r="E21" s="17" t="s">
        <v>27</v>
      </c>
      <c r="F21" s="19" t="s">
        <v>29</v>
      </c>
      <c r="G21" s="49"/>
      <c r="H21" s="49"/>
      <c r="I21" s="59"/>
      <c r="J21" s="60"/>
      <c r="K21" s="60"/>
    </row>
    <row r="22" spans="2:11" s="3" customFormat="1" ht="16.5" x14ac:dyDescent="0.25">
      <c r="B22" s="49"/>
      <c r="C22" s="24"/>
      <c r="D22" s="43"/>
      <c r="E22" s="17" t="s">
        <v>21</v>
      </c>
      <c r="F22" s="18" t="s">
        <v>28</v>
      </c>
      <c r="G22" s="49"/>
      <c r="H22" s="49"/>
      <c r="I22" s="59"/>
      <c r="J22" s="60"/>
      <c r="K22" s="60"/>
    </row>
    <row r="23" spans="2:11" s="3" customFormat="1" ht="16.5" x14ac:dyDescent="0.25">
      <c r="B23" s="49"/>
      <c r="C23" s="24"/>
      <c r="D23" s="43"/>
      <c r="E23" s="17" t="s">
        <v>23</v>
      </c>
      <c r="F23" s="18" t="s">
        <v>24</v>
      </c>
      <c r="G23" s="49"/>
      <c r="H23" s="49"/>
      <c r="I23" s="59"/>
      <c r="J23" s="60"/>
      <c r="K23" s="60"/>
    </row>
    <row r="24" spans="2:11" s="3" customFormat="1" ht="16.5" x14ac:dyDescent="0.25">
      <c r="B24" s="50"/>
      <c r="C24" s="25"/>
      <c r="D24" s="44"/>
      <c r="E24" s="11" t="s">
        <v>15</v>
      </c>
      <c r="F24" s="16" t="s">
        <v>34</v>
      </c>
      <c r="G24" s="50"/>
      <c r="H24" s="50"/>
      <c r="I24" s="61"/>
      <c r="J24" s="61"/>
      <c r="K24" s="61"/>
    </row>
    <row r="25" spans="2:11" s="3" customFormat="1" ht="16.5" x14ac:dyDescent="0.25">
      <c r="B25" s="48">
        <v>3</v>
      </c>
      <c r="C25" s="23"/>
      <c r="D25" s="42"/>
      <c r="E25" s="9" t="s">
        <v>4</v>
      </c>
      <c r="F25" s="13" t="s">
        <v>30</v>
      </c>
      <c r="G25" s="48" t="s">
        <v>5</v>
      </c>
      <c r="H25" s="48">
        <v>2</v>
      </c>
      <c r="I25" s="58">
        <v>520.88</v>
      </c>
      <c r="J25" s="58">
        <f>I25*0.85</f>
        <v>442.74799999999999</v>
      </c>
      <c r="K25" s="58">
        <f>H25*J25</f>
        <v>885.49599999999998</v>
      </c>
    </row>
    <row r="26" spans="2:11" s="3" customFormat="1" ht="16.5" x14ac:dyDescent="0.25">
      <c r="B26" s="49"/>
      <c r="C26" s="24"/>
      <c r="D26" s="43"/>
      <c r="E26" s="17" t="s">
        <v>25</v>
      </c>
      <c r="F26" s="18" t="s">
        <v>35</v>
      </c>
      <c r="G26" s="49"/>
      <c r="H26" s="49"/>
      <c r="I26" s="59"/>
      <c r="J26" s="60"/>
      <c r="K26" s="60"/>
    </row>
    <row r="27" spans="2:11" s="3" customFormat="1" ht="16.5" x14ac:dyDescent="0.25">
      <c r="B27" s="49"/>
      <c r="C27" s="24"/>
      <c r="D27" s="43"/>
      <c r="E27" s="17" t="s">
        <v>26</v>
      </c>
      <c r="F27" s="18" t="s">
        <v>36</v>
      </c>
      <c r="G27" s="49"/>
      <c r="H27" s="49"/>
      <c r="I27" s="59"/>
      <c r="J27" s="60"/>
      <c r="K27" s="60"/>
    </row>
    <row r="28" spans="2:11" s="3" customFormat="1" ht="16.5" x14ac:dyDescent="0.25">
      <c r="B28" s="49"/>
      <c r="C28" s="24"/>
      <c r="D28" s="43"/>
      <c r="E28" s="17" t="s">
        <v>27</v>
      </c>
      <c r="F28" s="19" t="s">
        <v>29</v>
      </c>
      <c r="G28" s="49"/>
      <c r="H28" s="49"/>
      <c r="I28" s="59"/>
      <c r="J28" s="60"/>
      <c r="K28" s="60"/>
    </row>
    <row r="29" spans="2:11" s="3" customFormat="1" ht="16.5" x14ac:dyDescent="0.25">
      <c r="B29" s="49"/>
      <c r="C29" s="24"/>
      <c r="D29" s="43"/>
      <c r="E29" s="17" t="s">
        <v>21</v>
      </c>
      <c r="F29" s="18" t="s">
        <v>28</v>
      </c>
      <c r="G29" s="49"/>
      <c r="H29" s="49"/>
      <c r="I29" s="59"/>
      <c r="J29" s="60"/>
      <c r="K29" s="60"/>
    </row>
    <row r="30" spans="2:11" s="3" customFormat="1" ht="16.5" x14ac:dyDescent="0.25">
      <c r="B30" s="49"/>
      <c r="C30" s="24"/>
      <c r="D30" s="43"/>
      <c r="E30" s="17" t="s">
        <v>23</v>
      </c>
      <c r="F30" s="18" t="s">
        <v>37</v>
      </c>
      <c r="G30" s="49"/>
      <c r="H30" s="49"/>
      <c r="I30" s="59"/>
      <c r="J30" s="60"/>
      <c r="K30" s="60"/>
    </row>
    <row r="31" spans="2:11" s="3" customFormat="1" ht="16.5" x14ac:dyDescent="0.25">
      <c r="B31" s="50"/>
      <c r="C31" s="25"/>
      <c r="D31" s="44"/>
      <c r="E31" s="11" t="s">
        <v>15</v>
      </c>
      <c r="F31" s="16" t="s">
        <v>38</v>
      </c>
      <c r="G31" s="50"/>
      <c r="H31" s="50"/>
      <c r="I31" s="61"/>
      <c r="J31" s="61"/>
      <c r="K31" s="61"/>
    </row>
    <row r="32" spans="2:11" s="3" customFormat="1" ht="16.5" x14ac:dyDescent="0.25">
      <c r="B32" s="48">
        <v>4</v>
      </c>
      <c r="C32" s="23"/>
      <c r="D32" s="42"/>
      <c r="E32" s="9" t="s">
        <v>4</v>
      </c>
      <c r="F32" s="13" t="s">
        <v>51</v>
      </c>
      <c r="G32" s="48" t="s">
        <v>5</v>
      </c>
      <c r="H32" s="48">
        <v>6</v>
      </c>
      <c r="I32" s="58">
        <v>189.21</v>
      </c>
      <c r="J32" s="58">
        <f>I32*0.85</f>
        <v>160.82849999999999</v>
      </c>
      <c r="K32" s="58">
        <f>H32*J32</f>
        <v>964.971</v>
      </c>
    </row>
    <row r="33" spans="2:11" s="3" customFormat="1" ht="16.5" x14ac:dyDescent="0.25">
      <c r="B33" s="49"/>
      <c r="C33" s="24"/>
      <c r="D33" s="43"/>
      <c r="E33" s="17" t="s">
        <v>25</v>
      </c>
      <c r="F33" s="18" t="s">
        <v>52</v>
      </c>
      <c r="G33" s="49"/>
      <c r="H33" s="49"/>
      <c r="I33" s="59"/>
      <c r="J33" s="60"/>
      <c r="K33" s="60"/>
    </row>
    <row r="34" spans="2:11" s="3" customFormat="1" ht="16.5" x14ac:dyDescent="0.25">
      <c r="B34" s="49"/>
      <c r="C34" s="24"/>
      <c r="D34" s="43"/>
      <c r="E34" s="17" t="s">
        <v>26</v>
      </c>
      <c r="F34" s="18" t="s">
        <v>53</v>
      </c>
      <c r="G34" s="49"/>
      <c r="H34" s="49"/>
      <c r="I34" s="59"/>
      <c r="J34" s="60"/>
      <c r="K34" s="60"/>
    </row>
    <row r="35" spans="2:11" s="3" customFormat="1" ht="16.5" x14ac:dyDescent="0.25">
      <c r="B35" s="49"/>
      <c r="C35" s="24"/>
      <c r="D35" s="43"/>
      <c r="E35" s="17" t="s">
        <v>27</v>
      </c>
      <c r="F35" s="19" t="s">
        <v>29</v>
      </c>
      <c r="G35" s="49"/>
      <c r="H35" s="49"/>
      <c r="I35" s="59"/>
      <c r="J35" s="60"/>
      <c r="K35" s="60"/>
    </row>
    <row r="36" spans="2:11" s="3" customFormat="1" ht="16.5" x14ac:dyDescent="0.25">
      <c r="B36" s="49"/>
      <c r="C36" s="24"/>
      <c r="D36" s="43"/>
      <c r="E36" s="17" t="s">
        <v>21</v>
      </c>
      <c r="F36" s="18" t="s">
        <v>28</v>
      </c>
      <c r="G36" s="49"/>
      <c r="H36" s="49"/>
      <c r="I36" s="59"/>
      <c r="J36" s="60"/>
      <c r="K36" s="60"/>
    </row>
    <row r="37" spans="2:11" s="3" customFormat="1" ht="16.5" x14ac:dyDescent="0.25">
      <c r="B37" s="49"/>
      <c r="C37" s="24"/>
      <c r="D37" s="43"/>
      <c r="E37" s="17" t="s">
        <v>23</v>
      </c>
      <c r="F37" s="18" t="s">
        <v>24</v>
      </c>
      <c r="G37" s="49"/>
      <c r="H37" s="49"/>
      <c r="I37" s="59"/>
      <c r="J37" s="60"/>
      <c r="K37" s="60"/>
    </row>
    <row r="38" spans="2:11" s="3" customFormat="1" ht="16.5" x14ac:dyDescent="0.25">
      <c r="B38" s="50"/>
      <c r="C38" s="25"/>
      <c r="D38" s="44"/>
      <c r="E38" s="11" t="s">
        <v>15</v>
      </c>
      <c r="F38" s="16" t="s">
        <v>54</v>
      </c>
      <c r="G38" s="50"/>
      <c r="H38" s="50"/>
      <c r="I38" s="61"/>
      <c r="J38" s="61"/>
      <c r="K38" s="61"/>
    </row>
    <row r="39" spans="2:11" s="3" customFormat="1" ht="16.5" x14ac:dyDescent="0.25">
      <c r="B39" s="48">
        <v>5</v>
      </c>
      <c r="C39" s="23"/>
      <c r="D39" s="42"/>
      <c r="E39" s="9" t="s">
        <v>4</v>
      </c>
      <c r="F39" s="13" t="s">
        <v>40</v>
      </c>
      <c r="G39" s="48" t="s">
        <v>5</v>
      </c>
      <c r="H39" s="48">
        <v>4</v>
      </c>
      <c r="I39" s="58">
        <v>201.29</v>
      </c>
      <c r="J39" s="58">
        <f>I39*0.85</f>
        <v>171.09649999999999</v>
      </c>
      <c r="K39" s="58">
        <f>H39*J39</f>
        <v>684.38599999999997</v>
      </c>
    </row>
    <row r="40" spans="2:11" s="3" customFormat="1" ht="16.5" x14ac:dyDescent="0.25">
      <c r="B40" s="49"/>
      <c r="C40" s="24"/>
      <c r="D40" s="43"/>
      <c r="E40" s="17" t="s">
        <v>25</v>
      </c>
      <c r="F40" s="18" t="s">
        <v>39</v>
      </c>
      <c r="G40" s="49"/>
      <c r="H40" s="51"/>
      <c r="I40" s="59"/>
      <c r="J40" s="60"/>
      <c r="K40" s="60"/>
    </row>
    <row r="41" spans="2:11" s="3" customFormat="1" ht="16.5" x14ac:dyDescent="0.25">
      <c r="B41" s="49"/>
      <c r="C41" s="24"/>
      <c r="D41" s="43"/>
      <c r="E41" s="17" t="s">
        <v>26</v>
      </c>
      <c r="F41" s="18" t="s">
        <v>41</v>
      </c>
      <c r="G41" s="49"/>
      <c r="H41" s="51"/>
      <c r="I41" s="59"/>
      <c r="J41" s="60"/>
      <c r="K41" s="60"/>
    </row>
    <row r="42" spans="2:11" s="3" customFormat="1" ht="16.5" x14ac:dyDescent="0.25">
      <c r="B42" s="49"/>
      <c r="C42" s="24"/>
      <c r="D42" s="43"/>
      <c r="E42" s="17" t="s">
        <v>27</v>
      </c>
      <c r="F42" s="19" t="s">
        <v>29</v>
      </c>
      <c r="G42" s="49"/>
      <c r="H42" s="51"/>
      <c r="I42" s="59"/>
      <c r="J42" s="60"/>
      <c r="K42" s="60"/>
    </row>
    <row r="43" spans="2:11" s="3" customFormat="1" ht="16.5" x14ac:dyDescent="0.25">
      <c r="B43" s="49"/>
      <c r="C43" s="24"/>
      <c r="D43" s="43"/>
      <c r="E43" s="17" t="s">
        <v>21</v>
      </c>
      <c r="F43" s="18" t="s">
        <v>28</v>
      </c>
      <c r="G43" s="49"/>
      <c r="H43" s="51"/>
      <c r="I43" s="59"/>
      <c r="J43" s="60"/>
      <c r="K43" s="60"/>
    </row>
    <row r="44" spans="2:11" s="3" customFormat="1" ht="16.5" x14ac:dyDescent="0.25">
      <c r="B44" s="49"/>
      <c r="C44" s="24"/>
      <c r="D44" s="43"/>
      <c r="E44" s="17" t="s">
        <v>23</v>
      </c>
      <c r="F44" s="18" t="s">
        <v>50</v>
      </c>
      <c r="G44" s="49"/>
      <c r="H44" s="51"/>
      <c r="I44" s="59"/>
      <c r="J44" s="60"/>
      <c r="K44" s="60"/>
    </row>
    <row r="45" spans="2:11" s="3" customFormat="1" ht="16.5" x14ac:dyDescent="0.25">
      <c r="B45" s="50"/>
      <c r="C45" s="25"/>
      <c r="D45" s="44"/>
      <c r="E45" s="11" t="s">
        <v>15</v>
      </c>
      <c r="F45" s="16" t="s">
        <v>42</v>
      </c>
      <c r="G45" s="50"/>
      <c r="H45" s="50"/>
      <c r="I45" s="61"/>
      <c r="J45" s="61"/>
      <c r="K45" s="61"/>
    </row>
    <row r="46" spans="2:11" s="3" customFormat="1" ht="16.5" x14ac:dyDescent="0.25">
      <c r="B46" s="48">
        <v>6</v>
      </c>
      <c r="C46" s="23"/>
      <c r="D46" s="42"/>
      <c r="E46" s="9" t="s">
        <v>4</v>
      </c>
      <c r="F46" s="13" t="s">
        <v>43</v>
      </c>
      <c r="G46" s="48" t="s">
        <v>5</v>
      </c>
      <c r="H46" s="48">
        <v>2</v>
      </c>
      <c r="I46" s="58">
        <v>128.72</v>
      </c>
      <c r="J46" s="58">
        <f>I46*0.85</f>
        <v>109.41199999999999</v>
      </c>
      <c r="K46" s="58">
        <f>H46*J46</f>
        <v>218.82399999999998</v>
      </c>
    </row>
    <row r="47" spans="2:11" s="3" customFormat="1" ht="16.5" x14ac:dyDescent="0.25">
      <c r="B47" s="49"/>
      <c r="C47" s="24"/>
      <c r="D47" s="43"/>
      <c r="E47" s="17" t="s">
        <v>25</v>
      </c>
      <c r="F47" s="18" t="s">
        <v>44</v>
      </c>
      <c r="G47" s="49"/>
      <c r="H47" s="49"/>
      <c r="I47" s="59"/>
      <c r="J47" s="60"/>
      <c r="K47" s="60"/>
    </row>
    <row r="48" spans="2:11" s="3" customFormat="1" ht="16.5" x14ac:dyDescent="0.25">
      <c r="B48" s="49"/>
      <c r="C48" s="24"/>
      <c r="D48" s="43"/>
      <c r="E48" s="17" t="s">
        <v>26</v>
      </c>
      <c r="F48" s="18" t="s">
        <v>45</v>
      </c>
      <c r="G48" s="49"/>
      <c r="H48" s="49"/>
      <c r="I48" s="59"/>
      <c r="J48" s="60"/>
      <c r="K48" s="60"/>
    </row>
    <row r="49" spans="2:11" s="3" customFormat="1" ht="16.5" x14ac:dyDescent="0.25">
      <c r="B49" s="49"/>
      <c r="C49" s="24"/>
      <c r="D49" s="43"/>
      <c r="E49" s="17" t="s">
        <v>27</v>
      </c>
      <c r="F49" s="19" t="s">
        <v>29</v>
      </c>
      <c r="G49" s="49"/>
      <c r="H49" s="49"/>
      <c r="I49" s="59"/>
      <c r="J49" s="60"/>
      <c r="K49" s="60"/>
    </row>
    <row r="50" spans="2:11" s="3" customFormat="1" ht="16.5" x14ac:dyDescent="0.25">
      <c r="B50" s="49"/>
      <c r="C50" s="24"/>
      <c r="D50" s="43"/>
      <c r="E50" s="17" t="s">
        <v>21</v>
      </c>
      <c r="F50" s="18" t="s">
        <v>28</v>
      </c>
      <c r="G50" s="49"/>
      <c r="H50" s="49"/>
      <c r="I50" s="59"/>
      <c r="J50" s="60"/>
      <c r="K50" s="60"/>
    </row>
    <row r="51" spans="2:11" s="3" customFormat="1" ht="16.5" x14ac:dyDescent="0.25">
      <c r="B51" s="49"/>
      <c r="C51" s="24"/>
      <c r="D51" s="43"/>
      <c r="E51" s="17" t="s">
        <v>23</v>
      </c>
      <c r="F51" s="18" t="s">
        <v>24</v>
      </c>
      <c r="G51" s="49"/>
      <c r="H51" s="49"/>
      <c r="I51" s="59"/>
      <c r="J51" s="60"/>
      <c r="K51" s="60"/>
    </row>
    <row r="52" spans="2:11" s="3" customFormat="1" ht="16.5" x14ac:dyDescent="0.25">
      <c r="B52" s="50"/>
      <c r="C52" s="25"/>
      <c r="D52" s="44"/>
      <c r="E52" s="11" t="s">
        <v>15</v>
      </c>
      <c r="F52" s="16" t="s">
        <v>46</v>
      </c>
      <c r="G52" s="50"/>
      <c r="H52" s="50"/>
      <c r="I52" s="61"/>
      <c r="J52" s="61"/>
      <c r="K52" s="61"/>
    </row>
    <row r="53" spans="2:11" s="26" customFormat="1" ht="16.5" x14ac:dyDescent="0.25">
      <c r="B53" s="48">
        <v>7</v>
      </c>
      <c r="C53" s="27"/>
      <c r="D53" s="42"/>
      <c r="E53" s="9" t="s">
        <v>4</v>
      </c>
      <c r="F53" s="13" t="s">
        <v>65</v>
      </c>
      <c r="G53" s="48" t="s">
        <v>5</v>
      </c>
      <c r="H53" s="48">
        <v>12</v>
      </c>
      <c r="I53" s="58">
        <v>70</v>
      </c>
      <c r="J53" s="58">
        <f>I53*0.85</f>
        <v>59.5</v>
      </c>
      <c r="K53" s="58">
        <f>H53*J53</f>
        <v>714</v>
      </c>
    </row>
    <row r="54" spans="2:11" s="26" customFormat="1" ht="16.5" x14ac:dyDescent="0.25">
      <c r="B54" s="49"/>
      <c r="C54" s="28"/>
      <c r="D54" s="43"/>
      <c r="E54" s="17" t="s">
        <v>25</v>
      </c>
      <c r="F54" s="18" t="s">
        <v>67</v>
      </c>
      <c r="G54" s="49"/>
      <c r="H54" s="49"/>
      <c r="I54" s="59"/>
      <c r="J54" s="59"/>
      <c r="K54" s="59"/>
    </row>
    <row r="55" spans="2:11" s="26" customFormat="1" ht="16.5" x14ac:dyDescent="0.25">
      <c r="B55" s="49"/>
      <c r="C55" s="28"/>
      <c r="D55" s="43"/>
      <c r="E55" s="17" t="s">
        <v>26</v>
      </c>
      <c r="F55" s="18" t="s">
        <v>68</v>
      </c>
      <c r="G55" s="49"/>
      <c r="H55" s="49"/>
      <c r="I55" s="59"/>
      <c r="J55" s="59"/>
      <c r="K55" s="59"/>
    </row>
    <row r="56" spans="2:11" s="26" customFormat="1" ht="16.5" x14ac:dyDescent="0.25">
      <c r="B56" s="49"/>
      <c r="C56" s="28"/>
      <c r="D56" s="43"/>
      <c r="E56" s="17" t="s">
        <v>27</v>
      </c>
      <c r="F56" s="19" t="s">
        <v>29</v>
      </c>
      <c r="G56" s="49"/>
      <c r="H56" s="49"/>
      <c r="I56" s="59"/>
      <c r="J56" s="59"/>
      <c r="K56" s="59"/>
    </row>
    <row r="57" spans="2:11" s="26" customFormat="1" ht="16.5" x14ac:dyDescent="0.25">
      <c r="B57" s="49"/>
      <c r="C57" s="28"/>
      <c r="D57" s="43"/>
      <c r="E57" s="17" t="s">
        <v>21</v>
      </c>
      <c r="F57" s="18" t="s">
        <v>63</v>
      </c>
      <c r="G57" s="49"/>
      <c r="H57" s="49"/>
      <c r="I57" s="59"/>
      <c r="J57" s="59"/>
      <c r="K57" s="59"/>
    </row>
    <row r="58" spans="2:11" s="26" customFormat="1" ht="16.5" x14ac:dyDescent="0.25">
      <c r="B58" s="49"/>
      <c r="C58" s="28"/>
      <c r="D58" s="43"/>
      <c r="E58" s="17" t="s">
        <v>23</v>
      </c>
      <c r="F58" s="18" t="s">
        <v>50</v>
      </c>
      <c r="G58" s="49"/>
      <c r="H58" s="49"/>
      <c r="I58" s="59"/>
      <c r="J58" s="59"/>
      <c r="K58" s="59"/>
    </row>
    <row r="59" spans="2:11" s="26" customFormat="1" ht="16.5" x14ac:dyDescent="0.25">
      <c r="B59" s="50"/>
      <c r="C59" s="29"/>
      <c r="D59" s="44"/>
      <c r="E59" s="11" t="s">
        <v>15</v>
      </c>
      <c r="F59" s="16" t="s">
        <v>66</v>
      </c>
      <c r="G59" s="50"/>
      <c r="H59" s="50"/>
      <c r="I59" s="61"/>
      <c r="J59" s="61"/>
      <c r="K59" s="61"/>
    </row>
    <row r="60" spans="2:11" s="26" customFormat="1" ht="16.5" x14ac:dyDescent="0.25">
      <c r="B60" s="48">
        <v>8</v>
      </c>
      <c r="C60" s="27"/>
      <c r="D60" s="42"/>
      <c r="E60" s="9" t="s">
        <v>4</v>
      </c>
      <c r="F60" s="13" t="s">
        <v>60</v>
      </c>
      <c r="G60" s="48" t="s">
        <v>5</v>
      </c>
      <c r="H60" s="48">
        <v>13</v>
      </c>
      <c r="I60" s="58">
        <v>63</v>
      </c>
      <c r="J60" s="58">
        <f>I60*0.85</f>
        <v>53.55</v>
      </c>
      <c r="K60" s="58">
        <f>H60*J60</f>
        <v>696.15</v>
      </c>
    </row>
    <row r="61" spans="2:11" s="26" customFormat="1" ht="16.5" x14ac:dyDescent="0.25">
      <c r="B61" s="49"/>
      <c r="C61" s="28"/>
      <c r="D61" s="43"/>
      <c r="E61" s="17" t="s">
        <v>25</v>
      </c>
      <c r="F61" s="18" t="s">
        <v>61</v>
      </c>
      <c r="G61" s="49"/>
      <c r="H61" s="49"/>
      <c r="I61" s="59"/>
      <c r="J61" s="59"/>
      <c r="K61" s="59"/>
    </row>
    <row r="62" spans="2:11" s="26" customFormat="1" ht="16.5" x14ac:dyDescent="0.25">
      <c r="B62" s="49"/>
      <c r="C62" s="28"/>
      <c r="D62" s="43"/>
      <c r="E62" s="17" t="s">
        <v>26</v>
      </c>
      <c r="F62" s="18" t="s">
        <v>62</v>
      </c>
      <c r="G62" s="49"/>
      <c r="H62" s="49"/>
      <c r="I62" s="59"/>
      <c r="J62" s="59"/>
      <c r="K62" s="59"/>
    </row>
    <row r="63" spans="2:11" s="26" customFormat="1" ht="16.5" x14ac:dyDescent="0.25">
      <c r="B63" s="49"/>
      <c r="C63" s="28"/>
      <c r="D63" s="43"/>
      <c r="E63" s="17" t="s">
        <v>27</v>
      </c>
      <c r="F63" s="19" t="s">
        <v>29</v>
      </c>
      <c r="G63" s="49"/>
      <c r="H63" s="49"/>
      <c r="I63" s="59"/>
      <c r="J63" s="59"/>
      <c r="K63" s="59"/>
    </row>
    <row r="64" spans="2:11" s="26" customFormat="1" ht="16.5" x14ac:dyDescent="0.25">
      <c r="B64" s="49"/>
      <c r="C64" s="28"/>
      <c r="D64" s="43"/>
      <c r="E64" s="17" t="s">
        <v>21</v>
      </c>
      <c r="F64" s="18" t="s">
        <v>63</v>
      </c>
      <c r="G64" s="49"/>
      <c r="H64" s="49"/>
      <c r="I64" s="59"/>
      <c r="J64" s="59"/>
      <c r="K64" s="59"/>
    </row>
    <row r="65" spans="2:11" s="26" customFormat="1" ht="16.5" x14ac:dyDescent="0.25">
      <c r="B65" s="49"/>
      <c r="C65" s="28"/>
      <c r="D65" s="43"/>
      <c r="E65" s="17" t="s">
        <v>23</v>
      </c>
      <c r="F65" s="18" t="s">
        <v>50</v>
      </c>
      <c r="G65" s="49"/>
      <c r="H65" s="49"/>
      <c r="I65" s="59"/>
      <c r="J65" s="59"/>
      <c r="K65" s="59"/>
    </row>
    <row r="66" spans="2:11" s="26" customFormat="1" ht="16.5" x14ac:dyDescent="0.25">
      <c r="B66" s="50"/>
      <c r="C66" s="29"/>
      <c r="D66" s="44"/>
      <c r="E66" s="11" t="s">
        <v>15</v>
      </c>
      <c r="F66" s="16" t="s">
        <v>64</v>
      </c>
      <c r="G66" s="50"/>
      <c r="H66" s="50"/>
      <c r="I66" s="61"/>
      <c r="J66" s="61"/>
      <c r="K66" s="61"/>
    </row>
    <row r="67" spans="2:11" s="26" customFormat="1" ht="16.5" x14ac:dyDescent="0.25">
      <c r="B67" s="48">
        <v>9</v>
      </c>
      <c r="C67" s="31"/>
      <c r="D67" s="42"/>
      <c r="E67" s="9" t="s">
        <v>4</v>
      </c>
      <c r="F67" s="13" t="s">
        <v>69</v>
      </c>
      <c r="G67" s="48" t="s">
        <v>5</v>
      </c>
      <c r="H67" s="48">
        <v>11</v>
      </c>
      <c r="I67" s="58">
        <v>57</v>
      </c>
      <c r="J67" s="58">
        <f>I67*0.85</f>
        <v>48.449999999999996</v>
      </c>
      <c r="K67" s="58">
        <f>H67*J67</f>
        <v>532.94999999999993</v>
      </c>
    </row>
    <row r="68" spans="2:11" s="26" customFormat="1" ht="16.5" x14ac:dyDescent="0.25">
      <c r="B68" s="49"/>
      <c r="C68" s="32"/>
      <c r="D68" s="43"/>
      <c r="E68" s="17" t="s">
        <v>25</v>
      </c>
      <c r="F68" s="18" t="s">
        <v>52</v>
      </c>
      <c r="G68" s="49"/>
      <c r="H68" s="49"/>
      <c r="I68" s="59"/>
      <c r="J68" s="59"/>
      <c r="K68" s="59"/>
    </row>
    <row r="69" spans="2:11" s="26" customFormat="1" ht="16.5" x14ac:dyDescent="0.25">
      <c r="B69" s="49"/>
      <c r="C69" s="32"/>
      <c r="D69" s="43"/>
      <c r="E69" s="17" t="s">
        <v>26</v>
      </c>
      <c r="F69" s="18" t="s">
        <v>70</v>
      </c>
      <c r="G69" s="49"/>
      <c r="H69" s="49"/>
      <c r="I69" s="59"/>
      <c r="J69" s="59"/>
      <c r="K69" s="59"/>
    </row>
    <row r="70" spans="2:11" s="26" customFormat="1" ht="16.5" x14ac:dyDescent="0.25">
      <c r="B70" s="49"/>
      <c r="C70" s="32"/>
      <c r="D70" s="43"/>
      <c r="E70" s="17" t="s">
        <v>27</v>
      </c>
      <c r="F70" s="19" t="s">
        <v>29</v>
      </c>
      <c r="G70" s="49"/>
      <c r="H70" s="49"/>
      <c r="I70" s="59"/>
      <c r="J70" s="59"/>
      <c r="K70" s="59"/>
    </row>
    <row r="71" spans="2:11" s="26" customFormat="1" ht="16.5" x14ac:dyDescent="0.25">
      <c r="B71" s="49"/>
      <c r="C71" s="32"/>
      <c r="D71" s="43"/>
      <c r="E71" s="17" t="s">
        <v>21</v>
      </c>
      <c r="F71" s="18" t="s">
        <v>28</v>
      </c>
      <c r="G71" s="49"/>
      <c r="H71" s="49"/>
      <c r="I71" s="59"/>
      <c r="J71" s="59"/>
      <c r="K71" s="59"/>
    </row>
    <row r="72" spans="2:11" s="26" customFormat="1" ht="16.5" x14ac:dyDescent="0.25">
      <c r="B72" s="49"/>
      <c r="C72" s="32"/>
      <c r="D72" s="43"/>
      <c r="E72" s="17" t="s">
        <v>23</v>
      </c>
      <c r="F72" s="18" t="s">
        <v>50</v>
      </c>
      <c r="G72" s="49"/>
      <c r="H72" s="49"/>
      <c r="I72" s="59"/>
      <c r="J72" s="59"/>
      <c r="K72" s="59"/>
    </row>
    <row r="73" spans="2:11" s="26" customFormat="1" ht="16.5" x14ac:dyDescent="0.25">
      <c r="B73" s="50"/>
      <c r="C73" s="30"/>
      <c r="D73" s="44"/>
      <c r="E73" s="11" t="s">
        <v>15</v>
      </c>
      <c r="F73" s="16" t="s">
        <v>71</v>
      </c>
      <c r="G73" s="50"/>
      <c r="H73" s="50"/>
      <c r="I73" s="61"/>
      <c r="J73" s="61"/>
      <c r="K73" s="61"/>
    </row>
    <row r="74" spans="2:11" s="26" customFormat="1" ht="16.5" x14ac:dyDescent="0.25">
      <c r="B74" s="48">
        <v>10</v>
      </c>
      <c r="C74" s="39"/>
      <c r="D74" s="42"/>
      <c r="E74" s="9" t="s">
        <v>4</v>
      </c>
      <c r="F74" s="13" t="s">
        <v>106</v>
      </c>
      <c r="G74" s="48" t="s">
        <v>5</v>
      </c>
      <c r="H74" s="48">
        <v>3</v>
      </c>
      <c r="I74" s="58">
        <v>18</v>
      </c>
      <c r="J74" s="58">
        <f>I74*0.85</f>
        <v>15.299999999999999</v>
      </c>
      <c r="K74" s="58">
        <f>H74*J74</f>
        <v>45.9</v>
      </c>
    </row>
    <row r="75" spans="2:11" s="26" customFormat="1" ht="16.5" x14ac:dyDescent="0.25">
      <c r="B75" s="49"/>
      <c r="C75" s="40"/>
      <c r="D75" s="43"/>
      <c r="E75" s="17" t="s">
        <v>25</v>
      </c>
      <c r="F75" s="18" t="s">
        <v>39</v>
      </c>
      <c r="G75" s="49"/>
      <c r="H75" s="49"/>
      <c r="I75" s="59"/>
      <c r="J75" s="59"/>
      <c r="K75" s="59"/>
    </row>
    <row r="76" spans="2:11" s="26" customFormat="1" ht="16.5" x14ac:dyDescent="0.25">
      <c r="B76" s="49"/>
      <c r="C76" s="40"/>
      <c r="D76" s="43"/>
      <c r="E76" s="17" t="s">
        <v>26</v>
      </c>
      <c r="F76" s="18" t="s">
        <v>107</v>
      </c>
      <c r="G76" s="49"/>
      <c r="H76" s="49"/>
      <c r="I76" s="59"/>
      <c r="J76" s="59"/>
      <c r="K76" s="59"/>
    </row>
    <row r="77" spans="2:11" s="26" customFormat="1" ht="16.5" x14ac:dyDescent="0.25">
      <c r="B77" s="49"/>
      <c r="C77" s="40"/>
      <c r="D77" s="43"/>
      <c r="E77" s="17" t="s">
        <v>27</v>
      </c>
      <c r="F77" s="19" t="s">
        <v>29</v>
      </c>
      <c r="G77" s="49"/>
      <c r="H77" s="49"/>
      <c r="I77" s="59"/>
      <c r="J77" s="59"/>
      <c r="K77" s="59"/>
    </row>
    <row r="78" spans="2:11" s="26" customFormat="1" ht="16.5" x14ac:dyDescent="0.25">
      <c r="B78" s="49"/>
      <c r="C78" s="40"/>
      <c r="D78" s="43"/>
      <c r="E78" s="17" t="s">
        <v>21</v>
      </c>
      <c r="F78" s="18" t="s">
        <v>28</v>
      </c>
      <c r="G78" s="49"/>
      <c r="H78" s="49"/>
      <c r="I78" s="59"/>
      <c r="J78" s="59"/>
      <c r="K78" s="59"/>
    </row>
    <row r="79" spans="2:11" s="26" customFormat="1" ht="16.5" x14ac:dyDescent="0.25">
      <c r="B79" s="49"/>
      <c r="C79" s="40"/>
      <c r="D79" s="43"/>
      <c r="E79" s="17" t="s">
        <v>23</v>
      </c>
      <c r="F79" s="18" t="s">
        <v>50</v>
      </c>
      <c r="G79" s="49"/>
      <c r="H79" s="49"/>
      <c r="I79" s="59"/>
      <c r="J79" s="59"/>
      <c r="K79" s="59"/>
    </row>
    <row r="80" spans="2:11" s="26" customFormat="1" ht="16.5" x14ac:dyDescent="0.25">
      <c r="B80" s="50"/>
      <c r="C80" s="41"/>
      <c r="D80" s="44"/>
      <c r="E80" s="11" t="s">
        <v>15</v>
      </c>
      <c r="F80" s="16" t="s">
        <v>108</v>
      </c>
      <c r="G80" s="50"/>
      <c r="H80" s="50"/>
      <c r="I80" s="61"/>
      <c r="J80" s="61"/>
      <c r="K80" s="61"/>
    </row>
    <row r="81" spans="2:11" s="26" customFormat="1" ht="16.5" x14ac:dyDescent="0.25">
      <c r="B81" s="48">
        <v>11</v>
      </c>
      <c r="C81" s="31"/>
      <c r="D81" s="42"/>
      <c r="E81" s="9" t="s">
        <v>4</v>
      </c>
      <c r="F81" s="13" t="s">
        <v>72</v>
      </c>
      <c r="G81" s="48" t="s">
        <v>5</v>
      </c>
      <c r="H81" s="48">
        <v>4</v>
      </c>
      <c r="I81" s="58">
        <v>70</v>
      </c>
      <c r="J81" s="58">
        <f>I81*0.85</f>
        <v>59.5</v>
      </c>
      <c r="K81" s="58">
        <f>H81*J81</f>
        <v>238</v>
      </c>
    </row>
    <row r="82" spans="2:11" s="26" customFormat="1" ht="16.5" x14ac:dyDescent="0.25">
      <c r="B82" s="49"/>
      <c r="C82" s="32"/>
      <c r="D82" s="43"/>
      <c r="E82" s="17" t="s">
        <v>25</v>
      </c>
      <c r="F82" s="18" t="s">
        <v>52</v>
      </c>
      <c r="G82" s="49"/>
      <c r="H82" s="49"/>
      <c r="I82" s="59"/>
      <c r="J82" s="59"/>
      <c r="K82" s="59"/>
    </row>
    <row r="83" spans="2:11" s="26" customFormat="1" ht="16.5" x14ac:dyDescent="0.25">
      <c r="B83" s="49"/>
      <c r="C83" s="32"/>
      <c r="D83" s="43"/>
      <c r="E83" s="17" t="s">
        <v>26</v>
      </c>
      <c r="F83" s="18" t="s">
        <v>73</v>
      </c>
      <c r="G83" s="49"/>
      <c r="H83" s="49"/>
      <c r="I83" s="59"/>
      <c r="J83" s="59"/>
      <c r="K83" s="59"/>
    </row>
    <row r="84" spans="2:11" s="26" customFormat="1" ht="16.5" x14ac:dyDescent="0.25">
      <c r="B84" s="49"/>
      <c r="C84" s="32"/>
      <c r="D84" s="43"/>
      <c r="E84" s="17" t="s">
        <v>27</v>
      </c>
      <c r="F84" s="19" t="s">
        <v>29</v>
      </c>
      <c r="G84" s="49"/>
      <c r="H84" s="49"/>
      <c r="I84" s="59"/>
      <c r="J84" s="59"/>
      <c r="K84" s="59"/>
    </row>
    <row r="85" spans="2:11" s="26" customFormat="1" ht="16.5" x14ac:dyDescent="0.25">
      <c r="B85" s="49"/>
      <c r="C85" s="32"/>
      <c r="D85" s="43"/>
      <c r="E85" s="17" t="s">
        <v>21</v>
      </c>
      <c r="F85" s="18" t="s">
        <v>74</v>
      </c>
      <c r="G85" s="49"/>
      <c r="H85" s="49"/>
      <c r="I85" s="59"/>
      <c r="J85" s="59"/>
      <c r="K85" s="59"/>
    </row>
    <row r="86" spans="2:11" s="26" customFormat="1" ht="16.5" x14ac:dyDescent="0.25">
      <c r="B86" s="49"/>
      <c r="C86" s="32"/>
      <c r="D86" s="43"/>
      <c r="E86" s="17" t="s">
        <v>23</v>
      </c>
      <c r="F86" s="18" t="s">
        <v>24</v>
      </c>
      <c r="G86" s="49"/>
      <c r="H86" s="49"/>
      <c r="I86" s="59"/>
      <c r="J86" s="59"/>
      <c r="K86" s="59"/>
    </row>
    <row r="87" spans="2:11" s="26" customFormat="1" ht="16.5" x14ac:dyDescent="0.25">
      <c r="B87" s="50"/>
      <c r="C87" s="30"/>
      <c r="D87" s="44"/>
      <c r="E87" s="11" t="s">
        <v>15</v>
      </c>
      <c r="F87" s="16" t="s">
        <v>75</v>
      </c>
      <c r="G87" s="50"/>
      <c r="H87" s="50"/>
      <c r="I87" s="61"/>
      <c r="J87" s="61"/>
      <c r="K87" s="61"/>
    </row>
    <row r="88" spans="2:11" s="26" customFormat="1" ht="16.5" x14ac:dyDescent="0.25">
      <c r="B88" s="48">
        <v>12</v>
      </c>
      <c r="C88" s="31"/>
      <c r="D88" s="42"/>
      <c r="E88" s="9" t="s">
        <v>4</v>
      </c>
      <c r="F88" s="13" t="s">
        <v>76</v>
      </c>
      <c r="G88" s="48" t="s">
        <v>5</v>
      </c>
      <c r="H88" s="48">
        <v>3</v>
      </c>
      <c r="I88" s="58">
        <v>30</v>
      </c>
      <c r="J88" s="58">
        <f>I88*0.85</f>
        <v>25.5</v>
      </c>
      <c r="K88" s="58">
        <f>H88*J88</f>
        <v>76.5</v>
      </c>
    </row>
    <row r="89" spans="2:11" s="26" customFormat="1" ht="16.5" x14ac:dyDescent="0.25">
      <c r="B89" s="49"/>
      <c r="C89" s="32"/>
      <c r="D89" s="43"/>
      <c r="E89" s="17" t="s">
        <v>25</v>
      </c>
      <c r="F89" s="18" t="s">
        <v>67</v>
      </c>
      <c r="G89" s="49"/>
      <c r="H89" s="49"/>
      <c r="I89" s="59"/>
      <c r="J89" s="59"/>
      <c r="K89" s="59"/>
    </row>
    <row r="90" spans="2:11" s="26" customFormat="1" ht="16.5" x14ac:dyDescent="0.25">
      <c r="B90" s="49"/>
      <c r="C90" s="32"/>
      <c r="D90" s="43"/>
      <c r="E90" s="17" t="s">
        <v>26</v>
      </c>
      <c r="F90" s="18" t="s">
        <v>62</v>
      </c>
      <c r="G90" s="49"/>
      <c r="H90" s="49"/>
      <c r="I90" s="59"/>
      <c r="J90" s="59"/>
      <c r="K90" s="59"/>
    </row>
    <row r="91" spans="2:11" s="26" customFormat="1" ht="16.5" x14ac:dyDescent="0.25">
      <c r="B91" s="49"/>
      <c r="C91" s="32"/>
      <c r="D91" s="43"/>
      <c r="E91" s="17" t="s">
        <v>27</v>
      </c>
      <c r="F91" s="19" t="s">
        <v>29</v>
      </c>
      <c r="G91" s="49"/>
      <c r="H91" s="49"/>
      <c r="I91" s="59"/>
      <c r="J91" s="59"/>
      <c r="K91" s="59"/>
    </row>
    <row r="92" spans="2:11" s="26" customFormat="1" ht="16.5" x14ac:dyDescent="0.25">
      <c r="B92" s="49"/>
      <c r="C92" s="32"/>
      <c r="D92" s="43"/>
      <c r="E92" s="17" t="s">
        <v>21</v>
      </c>
      <c r="F92" s="18" t="s">
        <v>74</v>
      </c>
      <c r="G92" s="49"/>
      <c r="H92" s="49"/>
      <c r="I92" s="59"/>
      <c r="J92" s="59"/>
      <c r="K92" s="59"/>
    </row>
    <row r="93" spans="2:11" s="26" customFormat="1" ht="16.5" x14ac:dyDescent="0.25">
      <c r="B93" s="49"/>
      <c r="C93" s="32"/>
      <c r="D93" s="43"/>
      <c r="E93" s="17" t="s">
        <v>23</v>
      </c>
      <c r="F93" s="18" t="s">
        <v>24</v>
      </c>
      <c r="G93" s="49"/>
      <c r="H93" s="49"/>
      <c r="I93" s="59"/>
      <c r="J93" s="59"/>
      <c r="K93" s="59"/>
    </row>
    <row r="94" spans="2:11" s="26" customFormat="1" ht="16.5" x14ac:dyDescent="0.25">
      <c r="B94" s="50"/>
      <c r="C94" s="30"/>
      <c r="D94" s="44"/>
      <c r="E94" s="11" t="s">
        <v>15</v>
      </c>
      <c r="F94" s="16" t="s">
        <v>77</v>
      </c>
      <c r="G94" s="50"/>
      <c r="H94" s="50"/>
      <c r="I94" s="61"/>
      <c r="J94" s="61"/>
      <c r="K94" s="61"/>
    </row>
    <row r="95" spans="2:11" s="26" customFormat="1" ht="16.5" x14ac:dyDescent="0.25">
      <c r="B95" s="48">
        <v>13</v>
      </c>
      <c r="C95" s="31"/>
      <c r="D95" s="42"/>
      <c r="E95" s="9" t="s">
        <v>4</v>
      </c>
      <c r="F95" s="13" t="s">
        <v>78</v>
      </c>
      <c r="G95" s="48" t="s">
        <v>5</v>
      </c>
      <c r="H95" s="48">
        <v>4</v>
      </c>
      <c r="I95" s="58">
        <v>96</v>
      </c>
      <c r="J95" s="58">
        <f>I95*0.85</f>
        <v>81.599999999999994</v>
      </c>
      <c r="K95" s="58">
        <f>H95*J95</f>
        <v>326.39999999999998</v>
      </c>
    </row>
    <row r="96" spans="2:11" s="26" customFormat="1" ht="16.5" x14ac:dyDescent="0.25">
      <c r="B96" s="49"/>
      <c r="C96" s="32"/>
      <c r="D96" s="43"/>
      <c r="E96" s="17" t="s">
        <v>21</v>
      </c>
      <c r="F96" s="18" t="s">
        <v>74</v>
      </c>
      <c r="G96" s="49"/>
      <c r="H96" s="49"/>
      <c r="I96" s="59"/>
      <c r="J96" s="59"/>
      <c r="K96" s="59"/>
    </row>
    <row r="97" spans="2:11" s="26" customFormat="1" ht="16.5" x14ac:dyDescent="0.25">
      <c r="B97" s="49"/>
      <c r="C97" s="32"/>
      <c r="D97" s="43"/>
      <c r="E97" s="17" t="s">
        <v>79</v>
      </c>
      <c r="F97" s="18" t="s">
        <v>80</v>
      </c>
      <c r="G97" s="49"/>
      <c r="H97" s="49"/>
      <c r="I97" s="59"/>
      <c r="J97" s="59"/>
      <c r="K97" s="59"/>
    </row>
    <row r="98" spans="2:11" s="26" customFormat="1" ht="16.5" x14ac:dyDescent="0.25">
      <c r="B98" s="49"/>
      <c r="C98" s="32"/>
      <c r="D98" s="43"/>
      <c r="E98" s="17" t="s">
        <v>23</v>
      </c>
      <c r="F98" s="19" t="s">
        <v>24</v>
      </c>
      <c r="G98" s="49"/>
      <c r="H98" s="49"/>
      <c r="I98" s="59"/>
      <c r="J98" s="59"/>
      <c r="K98" s="59"/>
    </row>
    <row r="99" spans="2:11" s="26" customFormat="1" ht="16.5" x14ac:dyDescent="0.25">
      <c r="B99" s="49"/>
      <c r="C99" s="32"/>
      <c r="D99" s="43"/>
      <c r="E99" s="17" t="s">
        <v>15</v>
      </c>
      <c r="F99" s="18" t="s">
        <v>81</v>
      </c>
      <c r="G99" s="49"/>
      <c r="H99" s="49"/>
      <c r="I99" s="59"/>
      <c r="J99" s="59"/>
      <c r="K99" s="59"/>
    </row>
    <row r="100" spans="2:11" s="26" customFormat="1" ht="16.5" x14ac:dyDescent="0.25">
      <c r="B100" s="49"/>
      <c r="C100" s="32"/>
      <c r="D100" s="43"/>
      <c r="E100" s="17"/>
      <c r="F100" s="18"/>
      <c r="G100" s="49"/>
      <c r="H100" s="49"/>
      <c r="I100" s="59"/>
      <c r="J100" s="59"/>
      <c r="K100" s="59"/>
    </row>
    <row r="101" spans="2:11" s="26" customFormat="1" ht="16.5" x14ac:dyDescent="0.25">
      <c r="B101" s="50"/>
      <c r="C101" s="30"/>
      <c r="D101" s="44"/>
      <c r="E101" s="11"/>
      <c r="F101" s="16"/>
      <c r="G101" s="50"/>
      <c r="H101" s="50"/>
      <c r="I101" s="61"/>
      <c r="J101" s="61"/>
      <c r="K101" s="61"/>
    </row>
    <row r="102" spans="2:11" s="26" customFormat="1" ht="16.5" x14ac:dyDescent="0.25">
      <c r="B102" s="33">
        <v>14</v>
      </c>
      <c r="C102" s="33"/>
      <c r="D102" s="33"/>
      <c r="E102" s="34" t="s">
        <v>4</v>
      </c>
      <c r="F102" s="35" t="s">
        <v>82</v>
      </c>
      <c r="G102" s="33" t="s">
        <v>5</v>
      </c>
      <c r="H102" s="33">
        <v>1</v>
      </c>
      <c r="I102" s="62">
        <v>53</v>
      </c>
      <c r="J102" s="62">
        <f>I102*0.85</f>
        <v>45.05</v>
      </c>
      <c r="K102" s="62">
        <f>H102*J102</f>
        <v>45.05</v>
      </c>
    </row>
    <row r="103" spans="2:11" s="26" customFormat="1" ht="16.5" x14ac:dyDescent="0.25">
      <c r="B103" s="33">
        <v>15</v>
      </c>
      <c r="C103" s="33"/>
      <c r="D103" s="33"/>
      <c r="E103" s="34" t="s">
        <v>4</v>
      </c>
      <c r="F103" s="35" t="s">
        <v>83</v>
      </c>
      <c r="G103" s="33" t="s">
        <v>5</v>
      </c>
      <c r="H103" s="33">
        <v>4</v>
      </c>
      <c r="I103" s="62">
        <v>22.5</v>
      </c>
      <c r="J103" s="62">
        <f>I103*0.85</f>
        <v>19.125</v>
      </c>
      <c r="K103" s="62">
        <f t="shared" ref="K103:K105" si="1">H103*J103</f>
        <v>76.5</v>
      </c>
    </row>
    <row r="104" spans="2:11" s="26" customFormat="1" ht="16.5" x14ac:dyDescent="0.25">
      <c r="B104" s="33">
        <v>16</v>
      </c>
      <c r="C104" s="33"/>
      <c r="D104" s="33"/>
      <c r="E104" s="34" t="s">
        <v>4</v>
      </c>
      <c r="F104" s="35" t="s">
        <v>84</v>
      </c>
      <c r="G104" s="33" t="s">
        <v>5</v>
      </c>
      <c r="H104" s="33">
        <v>3</v>
      </c>
      <c r="I104" s="62">
        <v>24</v>
      </c>
      <c r="J104" s="62">
        <f>I104*0.85</f>
        <v>20.399999999999999</v>
      </c>
      <c r="K104" s="62">
        <f t="shared" si="1"/>
        <v>61.199999999999996</v>
      </c>
    </row>
    <row r="105" spans="2:11" s="26" customFormat="1" ht="16.5" x14ac:dyDescent="0.25">
      <c r="B105" s="33">
        <v>17</v>
      </c>
      <c r="C105" s="33"/>
      <c r="D105" s="33"/>
      <c r="E105" s="34" t="s">
        <v>4</v>
      </c>
      <c r="F105" s="35" t="s">
        <v>85</v>
      </c>
      <c r="G105" s="33" t="s">
        <v>5</v>
      </c>
      <c r="H105" s="33">
        <v>8</v>
      </c>
      <c r="I105" s="62">
        <v>2.5</v>
      </c>
      <c r="J105" s="62">
        <f>I105*0.85</f>
        <v>2.125</v>
      </c>
      <c r="K105" s="62">
        <f t="shared" si="1"/>
        <v>17</v>
      </c>
    </row>
    <row r="106" spans="2:11" s="26" customFormat="1" ht="16.5" x14ac:dyDescent="0.25">
      <c r="B106" s="48">
        <v>18</v>
      </c>
      <c r="C106" s="31"/>
      <c r="D106" s="42"/>
      <c r="E106" s="9" t="s">
        <v>4</v>
      </c>
      <c r="F106" s="13" t="s">
        <v>72</v>
      </c>
      <c r="G106" s="48" t="s">
        <v>5</v>
      </c>
      <c r="H106" s="48">
        <v>6</v>
      </c>
      <c r="I106" s="58">
        <v>70</v>
      </c>
      <c r="J106" s="58">
        <f>I106*0.85</f>
        <v>59.5</v>
      </c>
      <c r="K106" s="58">
        <f>H106*J106</f>
        <v>357</v>
      </c>
    </row>
    <row r="107" spans="2:11" s="26" customFormat="1" ht="16.5" x14ac:dyDescent="0.25">
      <c r="B107" s="49"/>
      <c r="C107" s="32"/>
      <c r="D107" s="43"/>
      <c r="E107" s="17" t="s">
        <v>25</v>
      </c>
      <c r="F107" s="18" t="s">
        <v>52</v>
      </c>
      <c r="G107" s="49"/>
      <c r="H107" s="49"/>
      <c r="I107" s="59"/>
      <c r="J107" s="59"/>
      <c r="K107" s="59"/>
    </row>
    <row r="108" spans="2:11" s="26" customFormat="1" ht="16.5" x14ac:dyDescent="0.25">
      <c r="B108" s="49"/>
      <c r="C108" s="32"/>
      <c r="D108" s="43"/>
      <c r="E108" s="17" t="s">
        <v>26</v>
      </c>
      <c r="F108" s="18" t="s">
        <v>73</v>
      </c>
      <c r="G108" s="49"/>
      <c r="H108" s="49"/>
      <c r="I108" s="59"/>
      <c r="J108" s="59"/>
      <c r="K108" s="59"/>
    </row>
    <row r="109" spans="2:11" s="26" customFormat="1" ht="16.5" x14ac:dyDescent="0.25">
      <c r="B109" s="49"/>
      <c r="C109" s="32"/>
      <c r="D109" s="43"/>
      <c r="E109" s="17" t="s">
        <v>27</v>
      </c>
      <c r="F109" s="19" t="s">
        <v>29</v>
      </c>
      <c r="G109" s="49"/>
      <c r="H109" s="49"/>
      <c r="I109" s="59"/>
      <c r="J109" s="59"/>
      <c r="K109" s="59"/>
    </row>
    <row r="110" spans="2:11" s="26" customFormat="1" ht="16.5" x14ac:dyDescent="0.25">
      <c r="B110" s="49"/>
      <c r="C110" s="32"/>
      <c r="D110" s="43"/>
      <c r="E110" s="17" t="s">
        <v>21</v>
      </c>
      <c r="F110" s="18" t="s">
        <v>74</v>
      </c>
      <c r="G110" s="49"/>
      <c r="H110" s="49"/>
      <c r="I110" s="59"/>
      <c r="J110" s="59"/>
      <c r="K110" s="59"/>
    </row>
    <row r="111" spans="2:11" s="26" customFormat="1" ht="16.5" x14ac:dyDescent="0.25">
      <c r="B111" s="49"/>
      <c r="C111" s="32"/>
      <c r="D111" s="43"/>
      <c r="E111" s="17" t="s">
        <v>23</v>
      </c>
      <c r="F111" s="18" t="s">
        <v>50</v>
      </c>
      <c r="G111" s="49"/>
      <c r="H111" s="49"/>
      <c r="I111" s="59"/>
      <c r="J111" s="59"/>
      <c r="K111" s="59"/>
    </row>
    <row r="112" spans="2:11" s="26" customFormat="1" ht="16.5" x14ac:dyDescent="0.25">
      <c r="B112" s="50"/>
      <c r="C112" s="30"/>
      <c r="D112" s="44"/>
      <c r="E112" s="11" t="s">
        <v>15</v>
      </c>
      <c r="F112" s="16" t="s">
        <v>75</v>
      </c>
      <c r="G112" s="50"/>
      <c r="H112" s="50"/>
      <c r="I112" s="61"/>
      <c r="J112" s="61"/>
      <c r="K112" s="61"/>
    </row>
    <row r="113" spans="2:11" s="26" customFormat="1" ht="16.5" x14ac:dyDescent="0.25">
      <c r="B113" s="48">
        <v>19</v>
      </c>
      <c r="C113" s="31"/>
      <c r="D113" s="42"/>
      <c r="E113" s="9" t="s">
        <v>4</v>
      </c>
      <c r="F113" s="13" t="s">
        <v>86</v>
      </c>
      <c r="G113" s="48" t="s">
        <v>5</v>
      </c>
      <c r="H113" s="48">
        <v>2</v>
      </c>
      <c r="I113" s="58">
        <v>61</v>
      </c>
      <c r="J113" s="58">
        <f>I113*0.85</f>
        <v>51.85</v>
      </c>
      <c r="K113" s="58">
        <f>H113*J113</f>
        <v>103.7</v>
      </c>
    </row>
    <row r="114" spans="2:11" s="26" customFormat="1" ht="16.5" x14ac:dyDescent="0.25">
      <c r="B114" s="49"/>
      <c r="C114" s="32"/>
      <c r="D114" s="43"/>
      <c r="E114" s="17" t="s">
        <v>25</v>
      </c>
      <c r="F114" s="18" t="s">
        <v>52</v>
      </c>
      <c r="G114" s="49"/>
      <c r="H114" s="49"/>
      <c r="I114" s="59"/>
      <c r="J114" s="59"/>
      <c r="K114" s="59"/>
    </row>
    <row r="115" spans="2:11" s="26" customFormat="1" ht="16.5" x14ac:dyDescent="0.25">
      <c r="B115" s="49"/>
      <c r="C115" s="32"/>
      <c r="D115" s="43"/>
      <c r="E115" s="17" t="s">
        <v>26</v>
      </c>
      <c r="F115" s="18" t="s">
        <v>73</v>
      </c>
      <c r="G115" s="49"/>
      <c r="H115" s="49"/>
      <c r="I115" s="59"/>
      <c r="J115" s="59"/>
      <c r="K115" s="59"/>
    </row>
    <row r="116" spans="2:11" s="26" customFormat="1" ht="16.5" x14ac:dyDescent="0.25">
      <c r="B116" s="49"/>
      <c r="C116" s="32"/>
      <c r="D116" s="43"/>
      <c r="E116" s="17" t="s">
        <v>27</v>
      </c>
      <c r="F116" s="19" t="s">
        <v>29</v>
      </c>
      <c r="G116" s="49"/>
      <c r="H116" s="49"/>
      <c r="I116" s="59"/>
      <c r="J116" s="59"/>
      <c r="K116" s="59"/>
    </row>
    <row r="117" spans="2:11" s="26" customFormat="1" ht="16.5" x14ac:dyDescent="0.25">
      <c r="B117" s="49"/>
      <c r="C117" s="32"/>
      <c r="D117" s="43"/>
      <c r="E117" s="17" t="s">
        <v>21</v>
      </c>
      <c r="F117" s="18" t="s">
        <v>74</v>
      </c>
      <c r="G117" s="49"/>
      <c r="H117" s="49"/>
      <c r="I117" s="59"/>
      <c r="J117" s="59"/>
      <c r="K117" s="59"/>
    </row>
    <row r="118" spans="2:11" s="26" customFormat="1" ht="16.5" x14ac:dyDescent="0.25">
      <c r="B118" s="49"/>
      <c r="C118" s="32"/>
      <c r="D118" s="43"/>
      <c r="E118" s="17" t="s">
        <v>23</v>
      </c>
      <c r="F118" s="18" t="s">
        <v>50</v>
      </c>
      <c r="G118" s="49"/>
      <c r="H118" s="49"/>
      <c r="I118" s="59"/>
      <c r="J118" s="59"/>
      <c r="K118" s="59"/>
    </row>
    <row r="119" spans="2:11" s="26" customFormat="1" ht="16.5" x14ac:dyDescent="0.25">
      <c r="B119" s="50"/>
      <c r="C119" s="30"/>
      <c r="D119" s="44"/>
      <c r="E119" s="11" t="s">
        <v>15</v>
      </c>
      <c r="F119" s="16" t="s">
        <v>87</v>
      </c>
      <c r="G119" s="50"/>
      <c r="H119" s="50"/>
      <c r="I119" s="61"/>
      <c r="J119" s="61"/>
      <c r="K119" s="61"/>
    </row>
    <row r="120" spans="2:11" s="26" customFormat="1" ht="16.5" x14ac:dyDescent="0.25">
      <c r="B120" s="33">
        <v>20</v>
      </c>
      <c r="C120" s="33"/>
      <c r="D120" s="33"/>
      <c r="E120" s="34" t="s">
        <v>4</v>
      </c>
      <c r="F120" s="35" t="s">
        <v>88</v>
      </c>
      <c r="G120" s="33" t="s">
        <v>5</v>
      </c>
      <c r="H120" s="33">
        <v>1</v>
      </c>
      <c r="I120" s="62">
        <v>124</v>
      </c>
      <c r="J120" s="62">
        <f t="shared" ref="J120:J121" si="2">I120*0.85</f>
        <v>105.39999999999999</v>
      </c>
      <c r="K120" s="62">
        <f>H120*J120</f>
        <v>105.39999999999999</v>
      </c>
    </row>
    <row r="121" spans="2:11" s="26" customFormat="1" ht="16.5" x14ac:dyDescent="0.25">
      <c r="B121" s="33">
        <v>21</v>
      </c>
      <c r="C121" s="33"/>
      <c r="D121" s="33"/>
      <c r="E121" s="34" t="s">
        <v>4</v>
      </c>
      <c r="F121" s="35" t="s">
        <v>93</v>
      </c>
      <c r="G121" s="33" t="s">
        <v>5</v>
      </c>
      <c r="H121" s="33">
        <v>1</v>
      </c>
      <c r="I121" s="62">
        <v>20</v>
      </c>
      <c r="J121" s="62">
        <f t="shared" si="2"/>
        <v>17</v>
      </c>
      <c r="K121" s="62">
        <f t="shared" ref="K121" si="3">H121*J121</f>
        <v>17</v>
      </c>
    </row>
    <row r="122" spans="2:11" s="26" customFormat="1" ht="16.5" x14ac:dyDescent="0.25">
      <c r="B122" s="48">
        <v>22</v>
      </c>
      <c r="C122" s="31"/>
      <c r="D122" s="42"/>
      <c r="E122" s="9" t="s">
        <v>4</v>
      </c>
      <c r="F122" s="13" t="s">
        <v>90</v>
      </c>
      <c r="G122" s="48" t="s">
        <v>5</v>
      </c>
      <c r="H122" s="48">
        <v>16</v>
      </c>
      <c r="I122" s="58">
        <v>55</v>
      </c>
      <c r="J122" s="58">
        <f>I122*0.85</f>
        <v>46.75</v>
      </c>
      <c r="K122" s="58">
        <f>H122*J122</f>
        <v>748</v>
      </c>
    </row>
    <row r="123" spans="2:11" s="26" customFormat="1" ht="16.5" x14ac:dyDescent="0.25">
      <c r="B123" s="49"/>
      <c r="C123" s="32"/>
      <c r="D123" s="43"/>
      <c r="E123" s="17" t="s">
        <v>25</v>
      </c>
      <c r="F123" s="18" t="s">
        <v>92</v>
      </c>
      <c r="G123" s="49"/>
      <c r="H123" s="49"/>
      <c r="I123" s="59"/>
      <c r="J123" s="59"/>
      <c r="K123" s="59"/>
    </row>
    <row r="124" spans="2:11" s="26" customFormat="1" ht="16.5" x14ac:dyDescent="0.25">
      <c r="B124" s="49"/>
      <c r="C124" s="32"/>
      <c r="D124" s="43"/>
      <c r="E124" s="17" t="s">
        <v>26</v>
      </c>
      <c r="F124" s="18" t="s">
        <v>89</v>
      </c>
      <c r="G124" s="49"/>
      <c r="H124" s="49"/>
      <c r="I124" s="59"/>
      <c r="J124" s="59"/>
      <c r="K124" s="59"/>
    </row>
    <row r="125" spans="2:11" s="26" customFormat="1" ht="16.5" x14ac:dyDescent="0.25">
      <c r="B125" s="49"/>
      <c r="C125" s="32"/>
      <c r="D125" s="43"/>
      <c r="E125" s="17" t="s">
        <v>27</v>
      </c>
      <c r="F125" s="19" t="s">
        <v>29</v>
      </c>
      <c r="G125" s="49"/>
      <c r="H125" s="49"/>
      <c r="I125" s="59"/>
      <c r="J125" s="59"/>
      <c r="K125" s="59"/>
    </row>
    <row r="126" spans="2:11" s="26" customFormat="1" ht="16.5" x14ac:dyDescent="0.25">
      <c r="B126" s="49"/>
      <c r="C126" s="32"/>
      <c r="D126" s="43"/>
      <c r="E126" s="17" t="s">
        <v>21</v>
      </c>
      <c r="F126" s="18" t="s">
        <v>28</v>
      </c>
      <c r="G126" s="49"/>
      <c r="H126" s="49"/>
      <c r="I126" s="59"/>
      <c r="J126" s="59"/>
      <c r="K126" s="59"/>
    </row>
    <row r="127" spans="2:11" s="26" customFormat="1" ht="16.5" x14ac:dyDescent="0.25">
      <c r="B127" s="49"/>
      <c r="C127" s="32"/>
      <c r="D127" s="43"/>
      <c r="E127" s="17" t="s">
        <v>23</v>
      </c>
      <c r="F127" s="18" t="s">
        <v>24</v>
      </c>
      <c r="G127" s="49"/>
      <c r="H127" s="49"/>
      <c r="I127" s="59"/>
      <c r="J127" s="59"/>
      <c r="K127" s="59"/>
    </row>
    <row r="128" spans="2:11" s="26" customFormat="1" ht="16.5" x14ac:dyDescent="0.25">
      <c r="B128" s="50"/>
      <c r="C128" s="30"/>
      <c r="D128" s="44"/>
      <c r="E128" s="11" t="s">
        <v>15</v>
      </c>
      <c r="F128" s="16" t="s">
        <v>91</v>
      </c>
      <c r="G128" s="50"/>
      <c r="H128" s="50"/>
      <c r="I128" s="61"/>
      <c r="J128" s="61"/>
      <c r="K128" s="61"/>
    </row>
    <row r="129" spans="2:11" s="26" customFormat="1" ht="16.5" x14ac:dyDescent="0.25">
      <c r="B129" s="48">
        <v>23</v>
      </c>
      <c r="C129" s="38"/>
      <c r="D129" s="42"/>
      <c r="E129" s="9" t="s">
        <v>4</v>
      </c>
      <c r="F129" s="13" t="s">
        <v>103</v>
      </c>
      <c r="G129" s="48" t="s">
        <v>5</v>
      </c>
      <c r="H129" s="48">
        <v>8</v>
      </c>
      <c r="I129" s="58">
        <v>64.5</v>
      </c>
      <c r="J129" s="58">
        <f>I129*0.85</f>
        <v>54.824999999999996</v>
      </c>
      <c r="K129" s="58">
        <f>H129*J129</f>
        <v>438.59999999999997</v>
      </c>
    </row>
    <row r="130" spans="2:11" s="26" customFormat="1" ht="16.5" x14ac:dyDescent="0.25">
      <c r="B130" s="49"/>
      <c r="C130" s="36"/>
      <c r="D130" s="43"/>
      <c r="E130" s="17" t="s">
        <v>25</v>
      </c>
      <c r="F130" s="18" t="s">
        <v>104</v>
      </c>
      <c r="G130" s="49"/>
      <c r="H130" s="49"/>
      <c r="I130" s="59"/>
      <c r="J130" s="59"/>
      <c r="K130" s="59"/>
    </row>
    <row r="131" spans="2:11" s="26" customFormat="1" ht="16.5" x14ac:dyDescent="0.25">
      <c r="B131" s="49"/>
      <c r="C131" s="36"/>
      <c r="D131" s="43"/>
      <c r="E131" s="17" t="s">
        <v>26</v>
      </c>
      <c r="F131" s="18" t="s">
        <v>105</v>
      </c>
      <c r="G131" s="49"/>
      <c r="H131" s="49"/>
      <c r="I131" s="59"/>
      <c r="J131" s="59"/>
      <c r="K131" s="59"/>
    </row>
    <row r="132" spans="2:11" s="26" customFormat="1" ht="16.5" x14ac:dyDescent="0.25">
      <c r="B132" s="49"/>
      <c r="C132" s="36"/>
      <c r="D132" s="43"/>
      <c r="E132" s="17" t="s">
        <v>27</v>
      </c>
      <c r="F132" s="19" t="s">
        <v>94</v>
      </c>
      <c r="G132" s="49"/>
      <c r="H132" s="49"/>
      <c r="I132" s="59"/>
      <c r="J132" s="59"/>
      <c r="K132" s="59"/>
    </row>
    <row r="133" spans="2:11" s="26" customFormat="1" ht="16.5" x14ac:dyDescent="0.25">
      <c r="B133" s="49"/>
      <c r="C133" s="36"/>
      <c r="D133" s="43"/>
      <c r="E133" s="17" t="s">
        <v>21</v>
      </c>
      <c r="F133" s="18" t="s">
        <v>95</v>
      </c>
      <c r="G133" s="49"/>
      <c r="H133" s="49"/>
      <c r="I133" s="59"/>
      <c r="J133" s="59"/>
      <c r="K133" s="59"/>
    </row>
    <row r="134" spans="2:11" s="26" customFormat="1" ht="16.5" x14ac:dyDescent="0.25">
      <c r="B134" s="49"/>
      <c r="C134" s="36"/>
      <c r="D134" s="43"/>
      <c r="E134" s="17" t="s">
        <v>96</v>
      </c>
      <c r="F134" s="18" t="s">
        <v>97</v>
      </c>
      <c r="G134" s="49"/>
      <c r="H134" s="49"/>
      <c r="I134" s="59"/>
      <c r="J134" s="59"/>
      <c r="K134" s="59"/>
    </row>
    <row r="135" spans="2:11" s="26" customFormat="1" ht="16.5" x14ac:dyDescent="0.25">
      <c r="B135" s="50"/>
      <c r="C135" s="37"/>
      <c r="D135" s="44"/>
      <c r="E135" s="11" t="s">
        <v>15</v>
      </c>
      <c r="F135" s="16" t="s">
        <v>98</v>
      </c>
      <c r="G135" s="50"/>
      <c r="H135" s="50"/>
      <c r="I135" s="61"/>
      <c r="J135" s="61"/>
      <c r="K135" s="61"/>
    </row>
    <row r="136" spans="2:11" s="26" customFormat="1" ht="16.5" x14ac:dyDescent="0.25">
      <c r="B136" s="33">
        <v>24</v>
      </c>
      <c r="C136" s="33"/>
      <c r="D136" s="33"/>
      <c r="E136" s="34" t="s">
        <v>4</v>
      </c>
      <c r="F136" s="35" t="s">
        <v>99</v>
      </c>
      <c r="G136" s="33" t="s">
        <v>5</v>
      </c>
      <c r="H136" s="33">
        <v>8</v>
      </c>
      <c r="I136" s="62">
        <v>42</v>
      </c>
      <c r="J136" s="62">
        <f>I136*0.85</f>
        <v>35.699999999999996</v>
      </c>
      <c r="K136" s="62">
        <f>H136*J136</f>
        <v>285.59999999999997</v>
      </c>
    </row>
    <row r="137" spans="2:11" s="26" customFormat="1" ht="16.5" x14ac:dyDescent="0.25">
      <c r="B137" s="33">
        <v>25</v>
      </c>
      <c r="C137" s="33"/>
      <c r="D137" s="33"/>
      <c r="E137" s="34" t="s">
        <v>4</v>
      </c>
      <c r="F137" s="35" t="s">
        <v>100</v>
      </c>
      <c r="G137" s="33" t="s">
        <v>5</v>
      </c>
      <c r="H137" s="33">
        <v>2</v>
      </c>
      <c r="I137" s="62">
        <v>68</v>
      </c>
      <c r="J137" s="62">
        <f>I137*0.85</f>
        <v>57.8</v>
      </c>
      <c r="K137" s="62">
        <f>H137*J137</f>
        <v>115.6</v>
      </c>
    </row>
    <row r="138" spans="2:11" s="26" customFormat="1" ht="16.5" x14ac:dyDescent="0.25">
      <c r="B138" s="33">
        <v>26</v>
      </c>
      <c r="C138" s="33"/>
      <c r="D138" s="33"/>
      <c r="E138" s="34" t="s">
        <v>4</v>
      </c>
      <c r="F138" s="35" t="s">
        <v>101</v>
      </c>
      <c r="G138" s="33" t="s">
        <v>5</v>
      </c>
      <c r="H138" s="33">
        <v>1</v>
      </c>
      <c r="I138" s="62">
        <v>114</v>
      </c>
      <c r="J138" s="62">
        <f>I138*0.85</f>
        <v>96.899999999999991</v>
      </c>
      <c r="K138" s="62">
        <f>H138*J138</f>
        <v>96.899999999999991</v>
      </c>
    </row>
    <row r="139" spans="2:11" s="26" customFormat="1" ht="16.5" x14ac:dyDescent="0.25">
      <c r="B139" s="33">
        <v>27</v>
      </c>
      <c r="C139" s="33"/>
      <c r="D139" s="33"/>
      <c r="E139" s="34" t="s">
        <v>4</v>
      </c>
      <c r="F139" s="35" t="s">
        <v>102</v>
      </c>
      <c r="G139" s="33" t="s">
        <v>5</v>
      </c>
      <c r="H139" s="33">
        <v>10</v>
      </c>
      <c r="I139" s="62">
        <v>18</v>
      </c>
      <c r="J139" s="62">
        <f>I139*0.85</f>
        <v>15.299999999999999</v>
      </c>
      <c r="K139" s="62">
        <f t="shared" ref="K139" si="4">H139*J139</f>
        <v>153</v>
      </c>
    </row>
    <row r="140" spans="2:11" s="2" customFormat="1" ht="16.5" customHeight="1" x14ac:dyDescent="0.3">
      <c r="B140" s="12"/>
      <c r="C140" s="12"/>
      <c r="D140" s="12"/>
      <c r="E140" s="12"/>
      <c r="F140" s="12"/>
      <c r="G140" s="12"/>
      <c r="H140" s="53" t="s">
        <v>48</v>
      </c>
      <c r="I140" s="53"/>
      <c r="J140" s="53"/>
      <c r="K140" s="63">
        <f>SUM(K11:K139)</f>
        <v>8809.2979999999989</v>
      </c>
    </row>
    <row r="141" spans="2:11" s="4" customFormat="1" ht="16.5" customHeight="1" x14ac:dyDescent="0.3">
      <c r="C141" s="6"/>
      <c r="D141" s="6"/>
      <c r="H141" s="54" t="s">
        <v>6</v>
      </c>
      <c r="I141" s="54"/>
      <c r="J141" s="54"/>
      <c r="K141" s="64">
        <f>K140*0.2</f>
        <v>1761.8595999999998</v>
      </c>
    </row>
    <row r="142" spans="2:11" s="4" customFormat="1" ht="16.5" customHeight="1" x14ac:dyDescent="0.3">
      <c r="C142" s="15"/>
      <c r="D142" s="15"/>
      <c r="H142" s="54" t="s">
        <v>7</v>
      </c>
      <c r="I142" s="54"/>
      <c r="J142" s="54"/>
      <c r="K142" s="64">
        <f>K140+K141</f>
        <v>10571.157599999999</v>
      </c>
    </row>
    <row r="143" spans="2:11" s="4" customFormat="1" ht="1.5" customHeight="1" x14ac:dyDescent="0.3">
      <c r="B143" s="52"/>
      <c r="C143" s="52"/>
      <c r="D143" s="52"/>
      <c r="E143" s="52"/>
      <c r="F143" s="52"/>
      <c r="G143" s="52"/>
      <c r="H143" s="52"/>
      <c r="I143" s="52"/>
      <c r="J143" s="21"/>
      <c r="K143" s="5"/>
    </row>
    <row r="144" spans="2:11" ht="16.5" x14ac:dyDescent="0.3">
      <c r="B144" s="52" t="s">
        <v>59</v>
      </c>
      <c r="C144" s="52"/>
      <c r="D144" s="52"/>
      <c r="E144" s="52"/>
      <c r="F144" s="52"/>
      <c r="G144" s="52"/>
      <c r="H144" s="52"/>
      <c r="I144" s="52"/>
      <c r="J144" s="21"/>
      <c r="K144" s="2"/>
    </row>
    <row r="145" spans="2:11" ht="16.5" x14ac:dyDescent="0.3">
      <c r="B145" s="52" t="s">
        <v>11</v>
      </c>
      <c r="C145" s="52"/>
      <c r="D145" s="52"/>
      <c r="E145" s="52"/>
      <c r="F145" s="52"/>
      <c r="G145" s="52"/>
      <c r="H145" s="52"/>
      <c r="I145" s="7"/>
      <c r="J145" s="21"/>
      <c r="K145" s="2"/>
    </row>
    <row r="146" spans="2:11" ht="16.5" x14ac:dyDescent="0.3">
      <c r="B146" s="52" t="s">
        <v>12</v>
      </c>
      <c r="C146" s="52"/>
      <c r="D146" s="52"/>
      <c r="E146" s="52"/>
      <c r="F146" s="52"/>
      <c r="G146" s="7"/>
      <c r="H146" s="7"/>
      <c r="I146" s="7"/>
      <c r="J146" s="21"/>
      <c r="K146" s="2"/>
    </row>
    <row r="147" spans="2:11" ht="16.5" x14ac:dyDescent="0.3">
      <c r="B147" s="52" t="s">
        <v>47</v>
      </c>
      <c r="C147" s="52"/>
      <c r="D147" s="52"/>
      <c r="E147" s="52"/>
      <c r="F147" s="52"/>
      <c r="G147" s="52"/>
      <c r="H147" s="52"/>
      <c r="I147" s="52"/>
      <c r="J147" s="21"/>
      <c r="K147" s="2"/>
    </row>
    <row r="148" spans="2:11" ht="5.25" customHeight="1" x14ac:dyDescent="0.3">
      <c r="B148" s="8"/>
      <c r="C148" s="8"/>
      <c r="D148" s="8"/>
      <c r="E148" s="8"/>
      <c r="F148" s="8"/>
      <c r="G148" s="8"/>
      <c r="H148" s="8"/>
      <c r="I148" s="8"/>
      <c r="J148" s="8"/>
      <c r="K148" s="2"/>
    </row>
    <row r="149" spans="2:11" ht="16.5" customHeight="1" x14ac:dyDescent="0.3">
      <c r="B149" s="47" t="s">
        <v>13</v>
      </c>
      <c r="C149" s="47"/>
      <c r="D149" s="47"/>
      <c r="E149" s="47"/>
      <c r="F149" s="47"/>
      <c r="G149" s="47"/>
      <c r="H149" s="47"/>
      <c r="I149" s="47"/>
      <c r="J149" s="47"/>
      <c r="K149" s="47"/>
    </row>
    <row r="150" spans="2:11" ht="1.5" customHeight="1" x14ac:dyDescent="0.3">
      <c r="B150" s="2"/>
      <c r="E150" s="2"/>
      <c r="G150" s="2"/>
      <c r="K150" s="2"/>
    </row>
    <row r="151" spans="2:11" ht="16.5" customHeight="1" x14ac:dyDescent="0.3">
      <c r="B151" s="2"/>
      <c r="C151" s="2" t="s">
        <v>14</v>
      </c>
      <c r="E151" s="2"/>
      <c r="G151" s="47" t="s">
        <v>17</v>
      </c>
      <c r="H151" s="47"/>
      <c r="I151" s="47"/>
      <c r="J151" s="47"/>
      <c r="K151" s="2"/>
    </row>
    <row r="152" spans="2:11" ht="16.5" customHeight="1" x14ac:dyDescent="0.3">
      <c r="B152" s="2"/>
      <c r="C152" s="2" t="s">
        <v>16</v>
      </c>
      <c r="E152" s="2"/>
      <c r="G152" s="47" t="s">
        <v>18</v>
      </c>
      <c r="H152" s="47"/>
      <c r="I152" s="47"/>
      <c r="J152" s="47"/>
      <c r="K152" s="2"/>
    </row>
    <row r="153" spans="2:11" ht="16.5" x14ac:dyDescent="0.3"/>
  </sheetData>
  <mergeCells count="123">
    <mergeCell ref="G53:G59"/>
    <mergeCell ref="H53:H59"/>
    <mergeCell ref="I53:I59"/>
    <mergeCell ref="J53:J59"/>
    <mergeCell ref="K53:K59"/>
    <mergeCell ref="K60:K66"/>
    <mergeCell ref="B60:B66"/>
    <mergeCell ref="G60:G66"/>
    <mergeCell ref="H60:H66"/>
    <mergeCell ref="I60:I66"/>
    <mergeCell ref="J60:J66"/>
    <mergeCell ref="K32:K38"/>
    <mergeCell ref="B25:B31"/>
    <mergeCell ref="G25:G31"/>
    <mergeCell ref="H25:H31"/>
    <mergeCell ref="I25:I31"/>
    <mergeCell ref="B32:B38"/>
    <mergeCell ref="G32:G38"/>
    <mergeCell ref="H32:H38"/>
    <mergeCell ref="I32:I38"/>
    <mergeCell ref="J32:J38"/>
    <mergeCell ref="J25:J31"/>
    <mergeCell ref="K25:K31"/>
    <mergeCell ref="B18:B24"/>
    <mergeCell ref="A1:K2"/>
    <mergeCell ref="B3:C3"/>
    <mergeCell ref="B6:C6"/>
    <mergeCell ref="B5:C5"/>
    <mergeCell ref="B4:C4"/>
    <mergeCell ref="K11:K17"/>
    <mergeCell ref="B11:B17"/>
    <mergeCell ref="G11:G17"/>
    <mergeCell ref="H11:H17"/>
    <mergeCell ref="I11:I17"/>
    <mergeCell ref="J11:J17"/>
    <mergeCell ref="E10:F10"/>
    <mergeCell ref="H5:I5"/>
    <mergeCell ref="A7:K7"/>
    <mergeCell ref="A9:K9"/>
    <mergeCell ref="A8:K8"/>
    <mergeCell ref="G18:G24"/>
    <mergeCell ref="H18:H24"/>
    <mergeCell ref="I18:I24"/>
    <mergeCell ref="J18:J24"/>
    <mergeCell ref="K18:K24"/>
    <mergeCell ref="B88:B94"/>
    <mergeCell ref="G88:G94"/>
    <mergeCell ref="H88:H94"/>
    <mergeCell ref="I88:I94"/>
    <mergeCell ref="J88:J94"/>
    <mergeCell ref="K88:K94"/>
    <mergeCell ref="K39:K45"/>
    <mergeCell ref="K46:K52"/>
    <mergeCell ref="B144:I144"/>
    <mergeCell ref="B143:I143"/>
    <mergeCell ref="H140:J140"/>
    <mergeCell ref="H141:J141"/>
    <mergeCell ref="H142:J142"/>
    <mergeCell ref="B39:B45"/>
    <mergeCell ref="G39:G45"/>
    <mergeCell ref="B53:B59"/>
    <mergeCell ref="H39:H45"/>
    <mergeCell ref="I39:I45"/>
    <mergeCell ref="J39:J45"/>
    <mergeCell ref="B46:B52"/>
    <mergeCell ref="G46:G52"/>
    <mergeCell ref="H46:H52"/>
    <mergeCell ref="I46:I52"/>
    <mergeCell ref="J46:J52"/>
    <mergeCell ref="B67:B73"/>
    <mergeCell ref="G67:G73"/>
    <mergeCell ref="H67:H73"/>
    <mergeCell ref="I67:I73"/>
    <mergeCell ref="J67:J73"/>
    <mergeCell ref="K67:K73"/>
    <mergeCell ref="B81:B87"/>
    <mergeCell ref="G81:G87"/>
    <mergeCell ref="H81:H87"/>
    <mergeCell ref="I81:I87"/>
    <mergeCell ref="J81:J87"/>
    <mergeCell ref="K81:K87"/>
    <mergeCell ref="B74:B80"/>
    <mergeCell ref="G74:G80"/>
    <mergeCell ref="H74:H80"/>
    <mergeCell ref="I74:I80"/>
    <mergeCell ref="J74:J80"/>
    <mergeCell ref="K74:K80"/>
    <mergeCell ref="I95:I101"/>
    <mergeCell ref="J95:J101"/>
    <mergeCell ref="K95:K101"/>
    <mergeCell ref="B106:B112"/>
    <mergeCell ref="G106:G112"/>
    <mergeCell ref="H106:H112"/>
    <mergeCell ref="I106:I112"/>
    <mergeCell ref="J106:J112"/>
    <mergeCell ref="K106:K112"/>
    <mergeCell ref="B95:B101"/>
    <mergeCell ref="G95:G101"/>
    <mergeCell ref="H95:H101"/>
    <mergeCell ref="K113:K119"/>
    <mergeCell ref="B113:B119"/>
    <mergeCell ref="G113:G119"/>
    <mergeCell ref="H113:H119"/>
    <mergeCell ref="I113:I119"/>
    <mergeCell ref="J113:J119"/>
    <mergeCell ref="K122:K128"/>
    <mergeCell ref="B122:B128"/>
    <mergeCell ref="G122:G128"/>
    <mergeCell ref="H122:H128"/>
    <mergeCell ref="I122:I128"/>
    <mergeCell ref="J122:J128"/>
    <mergeCell ref="B149:K149"/>
    <mergeCell ref="G151:J151"/>
    <mergeCell ref="G152:J152"/>
    <mergeCell ref="B129:B135"/>
    <mergeCell ref="G129:G135"/>
    <mergeCell ref="H129:H135"/>
    <mergeCell ref="I129:I135"/>
    <mergeCell ref="J129:J135"/>
    <mergeCell ref="K129:K135"/>
    <mergeCell ref="B145:H145"/>
    <mergeCell ref="B146:F146"/>
    <mergeCell ref="B147:I147"/>
  </mergeCells>
  <phoneticPr fontId="3" type="noConversion"/>
  <printOptions horizontalCentered="1"/>
  <pageMargins left="0.25" right="0.25" top="0.75" bottom="0.75" header="0.3" footer="0.3"/>
  <pageSetup paperSize="9" scale="48" fitToHeight="3" orientation="portrait" r:id="rId1"/>
  <headerFooter differentFirst="1">
    <oddFooter>Page &amp;P of &amp;N</oddFooter>
  </headerFooter>
  <rowBreaks count="1" manualBreakCount="1">
    <brk id="87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Invoice</vt:lpstr>
      <vt:lpstr>'Service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</dc:creator>
  <cp:lastModifiedBy>Kiril Borisov</cp:lastModifiedBy>
  <cp:lastPrinted>2026-01-09T13:04:16Z</cp:lastPrinted>
  <dcterms:created xsi:type="dcterms:W3CDTF">2017-09-10T06:58:24Z</dcterms:created>
  <dcterms:modified xsi:type="dcterms:W3CDTF">2026-01-09T13:04:23Z</dcterms:modified>
</cp:coreProperties>
</file>